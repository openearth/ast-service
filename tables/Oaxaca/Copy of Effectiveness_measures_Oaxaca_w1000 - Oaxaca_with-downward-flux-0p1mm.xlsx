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folders\AST\tables\Oaxaca\"/>
    </mc:Choice>
  </mc:AlternateContent>
  <xr:revisionPtr revIDLastSave="0" documentId="8_{9A4D785A-C393-4EE1-9A79-8D90529506BD}" xr6:coauthVersionLast="41" xr6:coauthVersionMax="41" xr10:uidLastSave="{00000000-0000-0000-0000-000000000000}"/>
  <bookViews>
    <workbookView xWindow="2730" yWindow="2730" windowWidth="21600" windowHeight="11385" activeTab="2" xr2:uid="{00000000-000D-0000-FFFF-FFFF00000000}"/>
  </bookViews>
  <sheets>
    <sheet name="Runoff factor" sheetId="1" r:id="rId1"/>
    <sheet name="Ftot" sheetId="2" r:id="rId2"/>
    <sheet name="Groundwater recharge" sheetId="3" r:id="rId3"/>
    <sheet name="Evapor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2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2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" i="1"/>
</calcChain>
</file>

<file path=xl/sharedStrings.xml><?xml version="1.0" encoding="utf-8"?>
<sst xmlns="http://schemas.openxmlformats.org/spreadsheetml/2006/main" count="234" uniqueCount="61">
  <si>
    <t>id</t>
  </si>
  <si>
    <t>Measure</t>
  </si>
  <si>
    <t>5</t>
  </si>
  <si>
    <t>10</t>
  </si>
  <si>
    <t>20</t>
  </si>
  <si>
    <t>30</t>
  </si>
  <si>
    <t>40</t>
  </si>
  <si>
    <t>50</t>
  </si>
  <si>
    <t>100</t>
  </si>
  <si>
    <t>Adding trees to streetscape</t>
  </si>
  <si>
    <t>Urban wetland</t>
  </si>
  <si>
    <t>Bioswale</t>
  </si>
  <si>
    <t>Deep groundwater infiltration</t>
  </si>
  <si>
    <t>Ditches</t>
  </si>
  <si>
    <t>Intensive green roofs</t>
  </si>
  <si>
    <t>Extensive green roofs</t>
  </si>
  <si>
    <t>Green roofs (extensive)</t>
  </si>
  <si>
    <t>Storage by realising extra surface area</t>
  </si>
  <si>
    <t>Drainage/Infiltration/Transport (DIT) drains</t>
  </si>
  <si>
    <t>Infiltration fields and strips with surface storage</t>
  </si>
  <si>
    <t>Infiltration trench</t>
  </si>
  <si>
    <t>Infiltration shaft</t>
  </si>
  <si>
    <t>Urban forest</t>
  </si>
  <si>
    <t>Permeable pavement infiltration</t>
  </si>
  <si>
    <t>Private green garden</t>
  </si>
  <si>
    <t>Rain barrel</t>
  </si>
  <si>
    <t>Rainwater storage below buildings</t>
  </si>
  <si>
    <t>Retention soil filter</t>
  </si>
  <si>
    <t>Storage by realising extra storage height</t>
  </si>
  <si>
    <t>Infiltration boxes</t>
  </si>
  <si>
    <t>Systems for rainwater harvesting</t>
  </si>
  <si>
    <t>Urban agriculture</t>
  </si>
  <si>
    <t>Water roof</t>
  </si>
  <si>
    <t>Water square</t>
  </si>
  <si>
    <t>Green roofs with drainage delay</t>
  </si>
  <si>
    <t>Hollow roads</t>
  </si>
  <si>
    <t>Underground storage</t>
  </si>
  <si>
    <t>Improve soil infiltration capacity</t>
  </si>
  <si>
    <t>Use of groundwater (aquifer storage and recovery)</t>
  </si>
  <si>
    <t>Rainwater detention pond (wet pond)</t>
  </si>
  <si>
    <t>Bioretention cell</t>
  </si>
  <si>
    <t>Gravel layers</t>
  </si>
  <si>
    <t>Permeable pavement (storage)</t>
  </si>
  <si>
    <t>Reducing pavement and improving the ground: patios out, green in</t>
  </si>
  <si>
    <t>Lowering part of terrace</t>
  </si>
  <si>
    <t>Lowering part of garden</t>
  </si>
  <si>
    <t>Urban park</t>
  </si>
  <si>
    <t>Rain garden</t>
  </si>
  <si>
    <t>Baseline</t>
  </si>
  <si>
    <t>applied on</t>
  </si>
  <si>
    <t>Open Paved</t>
  </si>
  <si>
    <t>Closed Paved</t>
  </si>
  <si>
    <t>Paved Roofs</t>
  </si>
  <si>
    <t>Paved Roofsivate green garden</t>
  </si>
  <si>
    <t>ImPaved Roofsove soil infiltration capacity</t>
  </si>
  <si>
    <t>Unpaved</t>
  </si>
  <si>
    <t>Open Water</t>
  </si>
  <si>
    <t>Rainwater storage belOpen Water buildings</t>
  </si>
  <si>
    <t>HollOpen Water roads</t>
  </si>
  <si>
    <t>LOpen Waterering part of terrace</t>
  </si>
  <si>
    <t>LOpen Waterering part of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</si>
</sst>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2" workbookViewId="0">
      <selection activeCell="C30" sqref="C30"/>
    </sheetView>
  </sheetViews>
  <sheetFormatPr defaultRowHeight="12" x14ac:dyDescent="0.2"/>
  <cols>
    <col min="1" max="1" width="2.7109375" style="3" bestFit="1" customWidth="1"/>
    <col min="2" max="2" width="54.28515625" style="3" bestFit="1" customWidth="1"/>
    <col min="3" max="3" width="11.28515625" style="3" bestFit="1" customWidth="1"/>
    <col min="4" max="4" width="11.28515625" style="3" customWidth="1"/>
    <col min="5" max="11" width="8.7109375" style="3" customWidth="1"/>
    <col min="12" max="16384" width="9.140625" style="3"/>
  </cols>
  <sheetData>
    <row r="1" spans="1:12" x14ac:dyDescent="0.2">
      <c r="A1" s="2" t="s">
        <v>0</v>
      </c>
      <c r="B1" s="2" t="s">
        <v>1</v>
      </c>
      <c r="C1" s="2" t="s">
        <v>49</v>
      </c>
      <c r="D1" s="2">
        <v>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>
        <v>100000</v>
      </c>
    </row>
    <row r="2" spans="1:12" x14ac:dyDescent="0.2">
      <c r="A2" s="3">
        <v>3</v>
      </c>
      <c r="B2" s="3" t="s">
        <v>9</v>
      </c>
      <c r="C2" s="8" t="s">
        <v>50</v>
      </c>
      <c r="D2" s="8">
        <v>0</v>
      </c>
      <c r="E2" s="3">
        <v>2.33</v>
      </c>
      <c r="F2" s="3">
        <v>2.33</v>
      </c>
      <c r="G2" s="3">
        <v>2.33</v>
      </c>
      <c r="H2" s="3">
        <v>2.33</v>
      </c>
      <c r="I2" s="3">
        <v>2.33</v>
      </c>
      <c r="J2" s="3">
        <v>2.33</v>
      </c>
      <c r="K2" s="3">
        <v>2.33</v>
      </c>
      <c r="L2" s="3">
        <f>K2</f>
        <v>2.33</v>
      </c>
    </row>
    <row r="3" spans="1:12" x14ac:dyDescent="0.2">
      <c r="A3" s="3">
        <v>4</v>
      </c>
      <c r="B3" s="3" t="s">
        <v>10</v>
      </c>
      <c r="C3" s="6" t="s">
        <v>51</v>
      </c>
      <c r="D3" s="8">
        <v>0</v>
      </c>
      <c r="E3" s="3">
        <v>1.26</v>
      </c>
      <c r="F3" s="3">
        <v>1.5</v>
      </c>
      <c r="G3" s="3">
        <v>2.09</v>
      </c>
      <c r="H3" s="3">
        <v>2.97</v>
      </c>
      <c r="I3" s="3">
        <v>5.1100000000000003</v>
      </c>
      <c r="J3" s="3">
        <v>9.02</v>
      </c>
      <c r="K3" s="3">
        <v>104.99</v>
      </c>
      <c r="L3" s="3">
        <f t="shared" ref="L3:L40" si="0">K3</f>
        <v>104.99</v>
      </c>
    </row>
    <row r="4" spans="1:12" x14ac:dyDescent="0.2">
      <c r="A4" s="3">
        <v>6</v>
      </c>
      <c r="B4" s="3" t="s">
        <v>11</v>
      </c>
      <c r="C4" s="8" t="s">
        <v>50</v>
      </c>
      <c r="D4" s="8">
        <v>0</v>
      </c>
      <c r="E4" s="3">
        <v>1.56</v>
      </c>
      <c r="F4" s="3">
        <v>1.56</v>
      </c>
      <c r="G4" s="3">
        <v>1.56</v>
      </c>
      <c r="H4" s="3">
        <v>1.56</v>
      </c>
      <c r="I4" s="3">
        <v>1.56</v>
      </c>
      <c r="J4" s="3">
        <v>1.56</v>
      </c>
      <c r="K4" s="3">
        <v>1.56</v>
      </c>
      <c r="L4" s="3">
        <f t="shared" si="0"/>
        <v>1.56</v>
      </c>
    </row>
    <row r="5" spans="1:12" x14ac:dyDescent="0.2">
      <c r="A5" s="3">
        <v>10</v>
      </c>
      <c r="B5" s="3" t="s">
        <v>12</v>
      </c>
      <c r="C5" s="8" t="s">
        <v>50</v>
      </c>
      <c r="D5" s="8">
        <v>0</v>
      </c>
      <c r="E5" s="3">
        <v>1.21</v>
      </c>
      <c r="F5" s="3">
        <v>1.49</v>
      </c>
      <c r="G5" s="3">
        <v>2.4700000000000002</v>
      </c>
      <c r="H5" s="3">
        <v>4.62</v>
      </c>
      <c r="I5" s="3">
        <v>9.6999999999999993</v>
      </c>
      <c r="J5" s="3">
        <v>19.68</v>
      </c>
      <c r="K5" s="3">
        <v>148.57</v>
      </c>
      <c r="L5" s="3">
        <f t="shared" si="0"/>
        <v>148.57</v>
      </c>
    </row>
    <row r="6" spans="1:12" x14ac:dyDescent="0.2">
      <c r="A6" s="3">
        <v>11</v>
      </c>
      <c r="B6" s="3" t="s">
        <v>13</v>
      </c>
      <c r="C6" s="8" t="s">
        <v>50</v>
      </c>
      <c r="D6" s="8">
        <v>0</v>
      </c>
      <c r="E6" s="3">
        <v>1.1499999999999999</v>
      </c>
      <c r="F6" s="3">
        <v>1.42</v>
      </c>
      <c r="G6" s="3">
        <v>2.29</v>
      </c>
      <c r="H6" s="3">
        <v>4.37</v>
      </c>
      <c r="I6" s="3">
        <v>8.34</v>
      </c>
      <c r="J6" s="3">
        <v>18.16</v>
      </c>
      <c r="K6" s="3">
        <v>141.22999999999999</v>
      </c>
      <c r="L6" s="3">
        <f t="shared" si="0"/>
        <v>141.22999999999999</v>
      </c>
    </row>
    <row r="7" spans="1:12" x14ac:dyDescent="0.2">
      <c r="A7" s="3">
        <v>12</v>
      </c>
      <c r="B7" s="3" t="s">
        <v>14</v>
      </c>
      <c r="C7" s="5" t="s">
        <v>52</v>
      </c>
      <c r="D7" s="8">
        <v>0</v>
      </c>
      <c r="E7" s="3">
        <v>1.9</v>
      </c>
      <c r="F7" s="3">
        <v>2.15</v>
      </c>
      <c r="G7" s="3">
        <v>2.67</v>
      </c>
      <c r="H7" s="3">
        <v>3.59</v>
      </c>
      <c r="I7" s="3">
        <v>4.9000000000000004</v>
      </c>
      <c r="J7" s="3">
        <v>6.17</v>
      </c>
      <c r="K7" s="3">
        <v>13.51</v>
      </c>
      <c r="L7" s="3">
        <f t="shared" si="0"/>
        <v>13.51</v>
      </c>
    </row>
    <row r="8" spans="1:12" x14ac:dyDescent="0.2">
      <c r="A8" s="3">
        <v>15</v>
      </c>
      <c r="B8" s="3" t="s">
        <v>15</v>
      </c>
      <c r="C8" s="5" t="s">
        <v>52</v>
      </c>
      <c r="D8" s="8">
        <v>0</v>
      </c>
      <c r="E8" s="3">
        <v>1.9</v>
      </c>
      <c r="F8" s="3">
        <v>2.15</v>
      </c>
      <c r="G8" s="3">
        <v>2.67</v>
      </c>
      <c r="H8" s="3">
        <v>3.59</v>
      </c>
      <c r="I8" s="3">
        <v>4.9000000000000004</v>
      </c>
      <c r="J8" s="3">
        <v>6.17</v>
      </c>
      <c r="K8" s="3">
        <v>13.51</v>
      </c>
      <c r="L8" s="3">
        <f t="shared" si="0"/>
        <v>13.51</v>
      </c>
    </row>
    <row r="9" spans="1:12" x14ac:dyDescent="0.2">
      <c r="A9" s="3">
        <v>16</v>
      </c>
      <c r="B9" s="3" t="s">
        <v>16</v>
      </c>
      <c r="C9" s="5" t="s">
        <v>52</v>
      </c>
      <c r="D9" s="8">
        <v>0</v>
      </c>
      <c r="E9" s="3">
        <v>1.9</v>
      </c>
      <c r="F9" s="3">
        <v>2.15</v>
      </c>
      <c r="G9" s="3">
        <v>2.67</v>
      </c>
      <c r="H9" s="3">
        <v>3.59</v>
      </c>
      <c r="I9" s="3">
        <v>4.9000000000000004</v>
      </c>
      <c r="J9" s="3">
        <v>6.17</v>
      </c>
      <c r="K9" s="3">
        <v>13.51</v>
      </c>
      <c r="L9" s="3">
        <f t="shared" si="0"/>
        <v>13.51</v>
      </c>
    </row>
    <row r="10" spans="1:12" x14ac:dyDescent="0.2">
      <c r="A10" s="3">
        <v>19</v>
      </c>
      <c r="B10" s="3" t="s">
        <v>17</v>
      </c>
      <c r="C10" s="4" t="s">
        <v>56</v>
      </c>
      <c r="D10" s="8">
        <v>0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f t="shared" si="0"/>
        <v>1</v>
      </c>
    </row>
    <row r="11" spans="1:12" x14ac:dyDescent="0.2">
      <c r="A11" s="3">
        <v>20</v>
      </c>
      <c r="B11" s="3" t="s">
        <v>18</v>
      </c>
      <c r="C11" s="8" t="s">
        <v>50</v>
      </c>
      <c r="D11" s="8">
        <v>0</v>
      </c>
      <c r="E11" s="3">
        <v>1.1000000000000001</v>
      </c>
      <c r="F11" s="3">
        <v>1.35</v>
      </c>
      <c r="G11" s="3">
        <v>2.14</v>
      </c>
      <c r="H11" s="3">
        <v>4.1100000000000003</v>
      </c>
      <c r="I11" s="3">
        <v>7.16</v>
      </c>
      <c r="J11" s="3">
        <v>16.489999999999998</v>
      </c>
      <c r="K11" s="3">
        <v>137.94</v>
      </c>
      <c r="L11" s="3">
        <f t="shared" si="0"/>
        <v>137.94</v>
      </c>
    </row>
    <row r="12" spans="1:12" x14ac:dyDescent="0.2">
      <c r="A12" s="3">
        <v>22</v>
      </c>
      <c r="B12" s="3" t="s">
        <v>19</v>
      </c>
      <c r="C12" s="8" t="s">
        <v>50</v>
      </c>
      <c r="D12" s="8">
        <v>0</v>
      </c>
      <c r="E12" s="3">
        <v>1.1499999999999999</v>
      </c>
      <c r="F12" s="3">
        <v>1.42</v>
      </c>
      <c r="G12" s="3">
        <v>2.29</v>
      </c>
      <c r="H12" s="3">
        <v>4.37</v>
      </c>
      <c r="I12" s="3">
        <v>8.34</v>
      </c>
      <c r="J12" s="3">
        <v>18.16</v>
      </c>
      <c r="K12" s="3">
        <v>141.22999999999999</v>
      </c>
      <c r="L12" s="3">
        <f t="shared" si="0"/>
        <v>141.22999999999999</v>
      </c>
    </row>
    <row r="13" spans="1:12" x14ac:dyDescent="0.2">
      <c r="A13" s="3">
        <v>23</v>
      </c>
      <c r="B13" s="3" t="s">
        <v>20</v>
      </c>
      <c r="C13" s="8" t="s">
        <v>50</v>
      </c>
      <c r="D13" s="8">
        <v>0</v>
      </c>
      <c r="E13" s="3">
        <v>1.18</v>
      </c>
      <c r="F13" s="3">
        <v>1.46</v>
      </c>
      <c r="G13" s="3">
        <v>2.35</v>
      </c>
      <c r="H13" s="3">
        <v>4.45</v>
      </c>
      <c r="I13" s="3">
        <v>8.59</v>
      </c>
      <c r="J13" s="3">
        <v>17.84</v>
      </c>
      <c r="K13" s="3">
        <v>144.6</v>
      </c>
      <c r="L13" s="3">
        <f t="shared" si="0"/>
        <v>144.6</v>
      </c>
    </row>
    <row r="14" spans="1:12" x14ac:dyDescent="0.2">
      <c r="A14" s="3">
        <v>24</v>
      </c>
      <c r="B14" s="3" t="s">
        <v>21</v>
      </c>
      <c r="C14" s="8" t="s">
        <v>50</v>
      </c>
      <c r="D14" s="8">
        <v>0</v>
      </c>
      <c r="E14" s="3">
        <v>1.1599999999999999</v>
      </c>
      <c r="F14" s="3">
        <v>1.42</v>
      </c>
      <c r="G14" s="3">
        <v>2.2599999999999998</v>
      </c>
      <c r="H14" s="3">
        <v>4.32</v>
      </c>
      <c r="I14" s="3">
        <v>8.19</v>
      </c>
      <c r="J14" s="3">
        <v>16.68</v>
      </c>
      <c r="K14" s="3">
        <v>142.58000000000001</v>
      </c>
      <c r="L14" s="3">
        <f t="shared" si="0"/>
        <v>142.58000000000001</v>
      </c>
    </row>
    <row r="15" spans="1:12" x14ac:dyDescent="0.2">
      <c r="A15" s="3">
        <v>25</v>
      </c>
      <c r="B15" s="3" t="s">
        <v>22</v>
      </c>
      <c r="C15" s="8" t="s">
        <v>50</v>
      </c>
      <c r="D15" s="8">
        <v>0</v>
      </c>
      <c r="E15" s="3">
        <v>33.94</v>
      </c>
      <c r="F15" s="3">
        <v>33.94</v>
      </c>
      <c r="G15" s="3">
        <v>33.94</v>
      </c>
      <c r="H15" s="3">
        <v>33.94</v>
      </c>
      <c r="I15" s="3">
        <v>33.94</v>
      </c>
      <c r="J15" s="3">
        <v>33.94</v>
      </c>
      <c r="K15" s="3">
        <v>33.94</v>
      </c>
      <c r="L15" s="3">
        <f t="shared" si="0"/>
        <v>33.94</v>
      </c>
    </row>
    <row r="16" spans="1:12" x14ac:dyDescent="0.2">
      <c r="A16" s="3">
        <v>26</v>
      </c>
      <c r="B16" s="3" t="s">
        <v>23</v>
      </c>
      <c r="C16" s="8" t="s">
        <v>50</v>
      </c>
      <c r="D16" s="8">
        <v>0</v>
      </c>
      <c r="E16" s="3">
        <v>1000</v>
      </c>
      <c r="F16" s="3">
        <v>1000</v>
      </c>
      <c r="G16" s="3">
        <v>1000</v>
      </c>
      <c r="H16" s="3">
        <v>1000</v>
      </c>
      <c r="I16" s="3">
        <v>1000</v>
      </c>
      <c r="J16" s="3">
        <v>1000</v>
      </c>
      <c r="K16" s="3">
        <v>1000</v>
      </c>
      <c r="L16" s="3">
        <f t="shared" si="0"/>
        <v>1000</v>
      </c>
    </row>
    <row r="17" spans="1:12" x14ac:dyDescent="0.2">
      <c r="A17" s="3">
        <v>27</v>
      </c>
      <c r="B17" s="3" t="s">
        <v>53</v>
      </c>
      <c r="C17" s="8" t="s">
        <v>50</v>
      </c>
      <c r="D17" s="8">
        <v>0</v>
      </c>
      <c r="E17" s="3">
        <v>1.57</v>
      </c>
      <c r="F17" s="3">
        <v>2.06</v>
      </c>
      <c r="G17" s="3">
        <v>4.3499999999999996</v>
      </c>
      <c r="H17" s="3">
        <v>8.26</v>
      </c>
      <c r="I17" s="3">
        <v>18.27</v>
      </c>
      <c r="J17" s="3">
        <v>28.85</v>
      </c>
      <c r="K17" s="3">
        <v>1000</v>
      </c>
      <c r="L17" s="3">
        <f t="shared" si="0"/>
        <v>1000</v>
      </c>
    </row>
    <row r="18" spans="1:12" x14ac:dyDescent="0.2">
      <c r="A18" s="3">
        <v>29</v>
      </c>
      <c r="B18" s="3" t="s">
        <v>25</v>
      </c>
      <c r="C18" s="5" t="s">
        <v>52</v>
      </c>
      <c r="D18" s="8">
        <v>0</v>
      </c>
      <c r="E18" s="3">
        <v>1.23</v>
      </c>
      <c r="F18" s="3">
        <v>1.49</v>
      </c>
      <c r="G18" s="3">
        <v>2.12</v>
      </c>
      <c r="H18" s="3">
        <v>3.23</v>
      </c>
      <c r="I18" s="3">
        <v>6.18</v>
      </c>
      <c r="J18" s="3">
        <v>12.14</v>
      </c>
      <c r="K18" s="3">
        <v>179.99</v>
      </c>
      <c r="L18" s="3">
        <f t="shared" si="0"/>
        <v>179.99</v>
      </c>
    </row>
    <row r="19" spans="1:12" x14ac:dyDescent="0.2">
      <c r="A19" s="3">
        <v>30</v>
      </c>
      <c r="B19" s="3" t="s">
        <v>57</v>
      </c>
      <c r="C19" s="5" t="s">
        <v>52</v>
      </c>
      <c r="D19" s="8">
        <v>0</v>
      </c>
      <c r="E19" s="3">
        <v>1.23</v>
      </c>
      <c r="F19" s="3">
        <v>1.47</v>
      </c>
      <c r="G19" s="3">
        <v>2.0299999999999998</v>
      </c>
      <c r="H19" s="3">
        <v>2.84</v>
      </c>
      <c r="I19" s="3">
        <v>4.74</v>
      </c>
      <c r="J19" s="3">
        <v>8.42</v>
      </c>
      <c r="K19" s="3">
        <v>104.7</v>
      </c>
      <c r="L19" s="3">
        <f t="shared" si="0"/>
        <v>104.7</v>
      </c>
    </row>
    <row r="20" spans="1:12" x14ac:dyDescent="0.2">
      <c r="A20" s="3">
        <v>31</v>
      </c>
      <c r="B20" s="3" t="s">
        <v>27</v>
      </c>
      <c r="C20" s="8" t="s">
        <v>50</v>
      </c>
      <c r="D20" s="8">
        <v>0</v>
      </c>
      <c r="E20" s="3">
        <v>1.57</v>
      </c>
      <c r="F20" s="3">
        <v>2.06</v>
      </c>
      <c r="G20" s="3">
        <v>4.3499999999999996</v>
      </c>
      <c r="H20" s="3">
        <v>8.26</v>
      </c>
      <c r="I20" s="3">
        <v>18.27</v>
      </c>
      <c r="J20" s="3">
        <v>28.85</v>
      </c>
      <c r="K20" s="3">
        <v>1000</v>
      </c>
      <c r="L20" s="3">
        <f t="shared" si="0"/>
        <v>1000</v>
      </c>
    </row>
    <row r="21" spans="1:12" x14ac:dyDescent="0.2">
      <c r="A21" s="3">
        <v>32</v>
      </c>
      <c r="B21" s="3" t="s">
        <v>28</v>
      </c>
      <c r="C21" s="4" t="s">
        <v>56</v>
      </c>
      <c r="D21" s="8">
        <v>0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f t="shared" si="0"/>
        <v>1</v>
      </c>
    </row>
    <row r="22" spans="1:12" x14ac:dyDescent="0.2">
      <c r="A22" s="3">
        <v>33</v>
      </c>
      <c r="B22" s="3" t="s">
        <v>29</v>
      </c>
      <c r="C22" s="8" t="s">
        <v>50</v>
      </c>
      <c r="D22" s="8">
        <v>0</v>
      </c>
      <c r="E22" s="3">
        <v>1.2</v>
      </c>
      <c r="F22" s="3">
        <v>1.44</v>
      </c>
      <c r="G22" s="3">
        <v>2.09</v>
      </c>
      <c r="H22" s="3">
        <v>3.25</v>
      </c>
      <c r="I22" s="3">
        <v>5.0199999999999996</v>
      </c>
      <c r="J22" s="3">
        <v>7.75</v>
      </c>
      <c r="K22" s="3">
        <v>38.380000000000003</v>
      </c>
      <c r="L22" s="3">
        <f t="shared" si="0"/>
        <v>38.380000000000003</v>
      </c>
    </row>
    <row r="23" spans="1:12" x14ac:dyDescent="0.2">
      <c r="A23" s="3">
        <v>37</v>
      </c>
      <c r="B23" s="3" t="s">
        <v>30</v>
      </c>
      <c r="C23" s="5" t="s">
        <v>52</v>
      </c>
      <c r="D23" s="8">
        <v>0</v>
      </c>
      <c r="E23" s="3">
        <v>1.1499999999999999</v>
      </c>
      <c r="F23" s="3">
        <v>1.3</v>
      </c>
      <c r="G23" s="3">
        <v>1.61</v>
      </c>
      <c r="H23" s="3">
        <v>1.87</v>
      </c>
      <c r="I23" s="3">
        <v>2.2200000000000002</v>
      </c>
      <c r="J23" s="3">
        <v>2.72</v>
      </c>
      <c r="K23" s="3">
        <v>10.84</v>
      </c>
      <c r="L23" s="3">
        <f t="shared" si="0"/>
        <v>10.84</v>
      </c>
    </row>
    <row r="24" spans="1:12" x14ac:dyDescent="0.2">
      <c r="A24" s="3">
        <v>39</v>
      </c>
      <c r="B24" s="3" t="s">
        <v>31</v>
      </c>
      <c r="C24" s="8" t="s">
        <v>50</v>
      </c>
      <c r="D24" s="8">
        <v>0</v>
      </c>
      <c r="E24" s="3">
        <v>33.94</v>
      </c>
      <c r="F24" s="3">
        <v>33.94</v>
      </c>
      <c r="G24" s="3">
        <v>33.94</v>
      </c>
      <c r="H24" s="3">
        <v>33.94</v>
      </c>
      <c r="I24" s="3">
        <v>33.94</v>
      </c>
      <c r="J24" s="3">
        <v>33.94</v>
      </c>
      <c r="K24" s="3">
        <v>33.94</v>
      </c>
      <c r="L24" s="3">
        <f t="shared" si="0"/>
        <v>33.94</v>
      </c>
    </row>
    <row r="25" spans="1:12" x14ac:dyDescent="0.2">
      <c r="A25" s="3">
        <v>40</v>
      </c>
      <c r="B25" s="3" t="s">
        <v>32</v>
      </c>
      <c r="C25" s="5" t="s">
        <v>52</v>
      </c>
      <c r="D25" s="8">
        <v>0</v>
      </c>
      <c r="E25" s="3">
        <v>1.39</v>
      </c>
      <c r="F25" s="3">
        <v>1.58</v>
      </c>
      <c r="G25" s="3">
        <v>1.99</v>
      </c>
      <c r="H25" s="3">
        <v>2.2999999999999998</v>
      </c>
      <c r="I25" s="3">
        <v>2.7</v>
      </c>
      <c r="J25" s="3">
        <v>3.29</v>
      </c>
      <c r="K25" s="3">
        <v>6.03</v>
      </c>
      <c r="L25" s="3">
        <f t="shared" si="0"/>
        <v>6.03</v>
      </c>
    </row>
    <row r="26" spans="1:12" x14ac:dyDescent="0.2">
      <c r="A26" s="3">
        <v>41</v>
      </c>
      <c r="B26" s="3" t="s">
        <v>33</v>
      </c>
      <c r="C26" s="8" t="s">
        <v>50</v>
      </c>
      <c r="D26" s="8">
        <v>0</v>
      </c>
      <c r="E26" s="3">
        <v>1.18</v>
      </c>
      <c r="F26" s="3">
        <v>1.43</v>
      </c>
      <c r="G26" s="3">
        <v>2.2999999999999998</v>
      </c>
      <c r="H26" s="3">
        <v>4.3499999999999996</v>
      </c>
      <c r="I26" s="3">
        <v>8.2799999999999994</v>
      </c>
      <c r="J26" s="3">
        <v>18.97</v>
      </c>
      <c r="K26" s="3">
        <v>141.69</v>
      </c>
      <c r="L26" s="3">
        <f t="shared" si="0"/>
        <v>141.69</v>
      </c>
    </row>
    <row r="27" spans="1:12" x14ac:dyDescent="0.2">
      <c r="A27" s="3">
        <v>42</v>
      </c>
      <c r="B27" s="3" t="s">
        <v>34</v>
      </c>
      <c r="C27" s="5" t="s">
        <v>52</v>
      </c>
      <c r="D27" s="8">
        <v>0</v>
      </c>
      <c r="E27" s="3">
        <v>3.6</v>
      </c>
      <c r="F27" s="3">
        <v>3.6</v>
      </c>
      <c r="G27" s="3">
        <v>3.6</v>
      </c>
      <c r="H27" s="3">
        <v>3.6</v>
      </c>
      <c r="I27" s="3">
        <v>3.6</v>
      </c>
      <c r="J27" s="3">
        <v>3.6</v>
      </c>
      <c r="K27" s="3">
        <v>3.6</v>
      </c>
      <c r="L27" s="3">
        <f t="shared" si="0"/>
        <v>3.6</v>
      </c>
    </row>
    <row r="28" spans="1:12" x14ac:dyDescent="0.2">
      <c r="A28" s="3">
        <v>45</v>
      </c>
      <c r="B28" s="3" t="s">
        <v>58</v>
      </c>
      <c r="C28" s="6" t="s">
        <v>51</v>
      </c>
      <c r="D28" s="8">
        <v>0</v>
      </c>
      <c r="E28" s="3">
        <v>1.21</v>
      </c>
      <c r="F28" s="3">
        <v>1.24</v>
      </c>
      <c r="G28" s="3">
        <v>1.25</v>
      </c>
      <c r="H28" s="3">
        <v>1.25</v>
      </c>
      <c r="I28" s="3">
        <v>1.25</v>
      </c>
      <c r="J28" s="3">
        <v>1.25</v>
      </c>
      <c r="K28" s="3">
        <v>1.26</v>
      </c>
      <c r="L28" s="3">
        <f t="shared" si="0"/>
        <v>1.26</v>
      </c>
    </row>
    <row r="29" spans="1:12" x14ac:dyDescent="0.2">
      <c r="A29" s="3">
        <v>46</v>
      </c>
      <c r="B29" s="3" t="s">
        <v>36</v>
      </c>
      <c r="C29" s="8" t="s">
        <v>50</v>
      </c>
      <c r="D29" s="8">
        <v>0</v>
      </c>
      <c r="E29" s="3">
        <v>1.18</v>
      </c>
      <c r="F29" s="3">
        <v>1.43</v>
      </c>
      <c r="G29" s="3">
        <v>2.29</v>
      </c>
      <c r="H29" s="3">
        <v>4.4000000000000004</v>
      </c>
      <c r="I29" s="3">
        <v>8.26</v>
      </c>
      <c r="J29" s="3">
        <v>18.829999999999998</v>
      </c>
      <c r="K29" s="3">
        <v>144.83000000000001</v>
      </c>
      <c r="L29" s="3">
        <f t="shared" si="0"/>
        <v>144.83000000000001</v>
      </c>
    </row>
    <row r="30" spans="1:12" x14ac:dyDescent="0.2">
      <c r="A30" s="3">
        <v>51</v>
      </c>
      <c r="B30" s="3" t="s">
        <v>54</v>
      </c>
      <c r="C30" s="7" t="s">
        <v>55</v>
      </c>
      <c r="D30" s="8">
        <v>0</v>
      </c>
      <c r="E30" s="3">
        <v>1000</v>
      </c>
      <c r="F30" s="3">
        <v>1000</v>
      </c>
      <c r="G30" s="3">
        <v>1000</v>
      </c>
      <c r="H30" s="3">
        <v>1000</v>
      </c>
      <c r="I30" s="3">
        <v>1000</v>
      </c>
      <c r="J30" s="3">
        <v>1000</v>
      </c>
      <c r="K30" s="3">
        <v>1000</v>
      </c>
      <c r="L30" s="3">
        <f t="shared" si="0"/>
        <v>1000</v>
      </c>
    </row>
    <row r="31" spans="1:12" x14ac:dyDescent="0.2">
      <c r="A31" s="3">
        <v>53</v>
      </c>
      <c r="B31" s="3" t="s">
        <v>38</v>
      </c>
      <c r="C31" s="8" t="s">
        <v>50</v>
      </c>
      <c r="D31" s="8">
        <v>0</v>
      </c>
      <c r="E31" s="3">
        <v>1.21</v>
      </c>
      <c r="F31" s="3">
        <v>1.49</v>
      </c>
      <c r="G31" s="3">
        <v>2.4700000000000002</v>
      </c>
      <c r="H31" s="3">
        <v>4.62</v>
      </c>
      <c r="I31" s="3">
        <v>9.6999999999999993</v>
      </c>
      <c r="J31" s="3">
        <v>19.68</v>
      </c>
      <c r="K31" s="3">
        <v>148.57</v>
      </c>
      <c r="L31" s="3">
        <f t="shared" si="0"/>
        <v>148.57</v>
      </c>
    </row>
    <row r="32" spans="1:12" x14ac:dyDescent="0.2">
      <c r="A32" s="3">
        <v>71</v>
      </c>
      <c r="B32" s="3" t="s">
        <v>39</v>
      </c>
      <c r="C32" s="8" t="s">
        <v>50</v>
      </c>
      <c r="D32" s="8">
        <v>0</v>
      </c>
      <c r="E32" s="3">
        <v>148.75</v>
      </c>
      <c r="F32" s="3">
        <v>1000</v>
      </c>
      <c r="G32" s="3">
        <v>1000</v>
      </c>
      <c r="H32" s="3">
        <v>1000</v>
      </c>
      <c r="I32" s="3">
        <v>1000</v>
      </c>
      <c r="J32" s="3">
        <v>1000</v>
      </c>
      <c r="K32" s="3">
        <v>1000</v>
      </c>
      <c r="L32" s="3">
        <f t="shared" si="0"/>
        <v>1000</v>
      </c>
    </row>
    <row r="33" spans="1:12" x14ac:dyDescent="0.2">
      <c r="A33" s="3">
        <v>72</v>
      </c>
      <c r="B33" s="3" t="s">
        <v>40</v>
      </c>
      <c r="C33" s="8" t="s">
        <v>50</v>
      </c>
      <c r="D33" s="8">
        <v>0</v>
      </c>
      <c r="E33" s="3">
        <v>1.04</v>
      </c>
      <c r="F33" s="3">
        <v>1.04</v>
      </c>
      <c r="G33" s="3">
        <v>1.04</v>
      </c>
      <c r="H33" s="3">
        <v>1.04</v>
      </c>
      <c r="I33" s="3">
        <v>1.04</v>
      </c>
      <c r="J33" s="3">
        <v>1.04</v>
      </c>
      <c r="K33" s="3">
        <v>1.04</v>
      </c>
      <c r="L33" s="3">
        <f t="shared" si="0"/>
        <v>1.04</v>
      </c>
    </row>
    <row r="34" spans="1:12" x14ac:dyDescent="0.2">
      <c r="A34" s="3">
        <v>82</v>
      </c>
      <c r="B34" s="3" t="s">
        <v>41</v>
      </c>
      <c r="C34" s="8" t="s">
        <v>50</v>
      </c>
      <c r="D34" s="8">
        <v>0</v>
      </c>
      <c r="E34" s="3">
        <v>1.18</v>
      </c>
      <c r="F34" s="3">
        <v>1.46</v>
      </c>
      <c r="G34" s="3">
        <v>2.35</v>
      </c>
      <c r="H34" s="3">
        <v>4.45</v>
      </c>
      <c r="I34" s="3">
        <v>8.6199999999999992</v>
      </c>
      <c r="J34" s="3">
        <v>17.96</v>
      </c>
      <c r="K34" s="3">
        <v>144.6</v>
      </c>
      <c r="L34" s="3">
        <f t="shared" si="0"/>
        <v>144.6</v>
      </c>
    </row>
    <row r="35" spans="1:12" x14ac:dyDescent="0.2">
      <c r="A35" s="3">
        <v>90</v>
      </c>
      <c r="B35" s="3" t="s">
        <v>42</v>
      </c>
      <c r="C35" s="8" t="s">
        <v>50</v>
      </c>
      <c r="D35" s="8">
        <v>0</v>
      </c>
      <c r="E35" s="3">
        <v>0.95</v>
      </c>
      <c r="F35" s="3">
        <v>1.1299999999999999</v>
      </c>
      <c r="G35" s="3">
        <v>1.76</v>
      </c>
      <c r="H35" s="3">
        <v>3.12</v>
      </c>
      <c r="I35" s="3">
        <v>6.13</v>
      </c>
      <c r="J35" s="3">
        <v>12.74</v>
      </c>
      <c r="K35" s="3">
        <v>107.75</v>
      </c>
      <c r="L35" s="3">
        <f t="shared" si="0"/>
        <v>107.75</v>
      </c>
    </row>
    <row r="36" spans="1:12" x14ac:dyDescent="0.2">
      <c r="A36" s="3">
        <v>91</v>
      </c>
      <c r="B36" s="3" t="s">
        <v>43</v>
      </c>
      <c r="C36" s="8" t="s">
        <v>50</v>
      </c>
      <c r="D36" s="8">
        <v>0</v>
      </c>
      <c r="E36" s="3">
        <v>33.94</v>
      </c>
      <c r="F36" s="3">
        <v>33.94</v>
      </c>
      <c r="G36" s="3">
        <v>33.94</v>
      </c>
      <c r="H36" s="3">
        <v>33.94</v>
      </c>
      <c r="I36" s="3">
        <v>33.94</v>
      </c>
      <c r="J36" s="3">
        <v>33.94</v>
      </c>
      <c r="K36" s="3">
        <v>33.94</v>
      </c>
      <c r="L36" s="3">
        <f t="shared" si="0"/>
        <v>33.94</v>
      </c>
    </row>
    <row r="37" spans="1:12" x14ac:dyDescent="0.2">
      <c r="A37" s="3">
        <v>92</v>
      </c>
      <c r="B37" s="3" t="s">
        <v>59</v>
      </c>
      <c r="C37" s="6" t="s">
        <v>51</v>
      </c>
      <c r="D37" s="8">
        <v>0</v>
      </c>
      <c r="E37" s="3">
        <v>1.17</v>
      </c>
      <c r="F37" s="3">
        <v>1.19</v>
      </c>
      <c r="G37" s="3">
        <v>1.2</v>
      </c>
      <c r="H37" s="3">
        <v>1.2</v>
      </c>
      <c r="I37" s="3">
        <v>1.2</v>
      </c>
      <c r="J37" s="3">
        <v>1.2</v>
      </c>
      <c r="K37" s="3">
        <v>1.2</v>
      </c>
      <c r="L37" s="3">
        <f t="shared" si="0"/>
        <v>1.2</v>
      </c>
    </row>
    <row r="38" spans="1:12" x14ac:dyDescent="0.2">
      <c r="A38" s="3">
        <v>93</v>
      </c>
      <c r="B38" s="3" t="s">
        <v>60</v>
      </c>
      <c r="C38" s="7" t="s">
        <v>55</v>
      </c>
      <c r="D38" s="8">
        <v>0</v>
      </c>
      <c r="E38" s="3">
        <v>0.13</v>
      </c>
      <c r="F38" s="3">
        <v>0.42</v>
      </c>
      <c r="G38" s="3">
        <v>1.2</v>
      </c>
      <c r="H38" s="3">
        <v>1.9</v>
      </c>
      <c r="I38" s="3">
        <v>2.63</v>
      </c>
      <c r="J38" s="3">
        <v>4.2300000000000004</v>
      </c>
      <c r="K38" s="3">
        <v>1000</v>
      </c>
      <c r="L38" s="3">
        <f t="shared" si="0"/>
        <v>1000</v>
      </c>
    </row>
    <row r="39" spans="1:12" x14ac:dyDescent="0.2">
      <c r="A39" s="3">
        <v>94</v>
      </c>
      <c r="B39" s="3" t="s">
        <v>46</v>
      </c>
      <c r="C39" s="8" t="s">
        <v>50</v>
      </c>
      <c r="D39" s="8">
        <v>0</v>
      </c>
      <c r="E39" s="3">
        <v>33.94</v>
      </c>
      <c r="F39" s="3">
        <v>33.94</v>
      </c>
      <c r="G39" s="3">
        <v>33.94</v>
      </c>
      <c r="H39" s="3">
        <v>33.94</v>
      </c>
      <c r="I39" s="3">
        <v>33.94</v>
      </c>
      <c r="J39" s="3">
        <v>33.94</v>
      </c>
      <c r="K39" s="3">
        <v>33.94</v>
      </c>
      <c r="L39" s="3">
        <f t="shared" si="0"/>
        <v>33.94</v>
      </c>
    </row>
    <row r="40" spans="1:12" x14ac:dyDescent="0.2">
      <c r="A40" s="3">
        <v>95</v>
      </c>
      <c r="B40" s="3" t="s">
        <v>47</v>
      </c>
      <c r="C40" s="8" t="s">
        <v>50</v>
      </c>
      <c r="D40" s="8">
        <v>0</v>
      </c>
      <c r="E40" s="3">
        <v>1.57</v>
      </c>
      <c r="F40" s="3">
        <v>2.06</v>
      </c>
      <c r="G40" s="3">
        <v>4.3499999999999996</v>
      </c>
      <c r="H40" s="3">
        <v>8.26</v>
      </c>
      <c r="I40" s="3">
        <v>18.27</v>
      </c>
      <c r="J40" s="3">
        <v>28.85</v>
      </c>
      <c r="K40" s="3">
        <v>1000</v>
      </c>
      <c r="L40" s="3">
        <f t="shared" si="0"/>
        <v>1000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B36" sqref="B36"/>
    </sheetView>
  </sheetViews>
  <sheetFormatPr defaultRowHeight="12" x14ac:dyDescent="0.2"/>
  <cols>
    <col min="1" max="1" width="2.7109375" style="3" bestFit="1" customWidth="1"/>
    <col min="2" max="2" width="54.28515625" style="3" bestFit="1" customWidth="1"/>
    <col min="3" max="9" width="6.7109375" style="3" customWidth="1"/>
    <col min="10" max="16384" width="9.140625" style="3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3</v>
      </c>
      <c r="B2" s="3" t="s">
        <v>9</v>
      </c>
      <c r="C2" s="3">
        <v>1.1000000000000001</v>
      </c>
      <c r="D2" s="3">
        <v>1.1000000000000001</v>
      </c>
      <c r="E2" s="3">
        <v>1.1000000000000001</v>
      </c>
      <c r="F2" s="3">
        <v>1.1000000000000001</v>
      </c>
      <c r="G2" s="3">
        <v>1.1000000000000001</v>
      </c>
      <c r="H2" s="3">
        <v>1.1000000000000001</v>
      </c>
      <c r="I2" s="3">
        <v>1.1000000000000001</v>
      </c>
    </row>
    <row r="3" spans="1:9" x14ac:dyDescent="0.2">
      <c r="A3" s="3">
        <v>4</v>
      </c>
      <c r="B3" s="3" t="s">
        <v>10</v>
      </c>
      <c r="C3" s="3">
        <v>1.1100000000000001</v>
      </c>
      <c r="D3" s="3">
        <v>1.2</v>
      </c>
      <c r="E3" s="3">
        <v>1.39</v>
      </c>
      <c r="F3" s="3">
        <v>1.62</v>
      </c>
      <c r="G3" s="3">
        <v>2.06</v>
      </c>
      <c r="H3" s="3">
        <v>2.66</v>
      </c>
      <c r="I3" s="3">
        <v>7.91</v>
      </c>
    </row>
    <row r="4" spans="1:9" x14ac:dyDescent="0.2">
      <c r="A4" s="3">
        <v>6</v>
      </c>
      <c r="B4" s="3" t="s">
        <v>11</v>
      </c>
      <c r="C4" s="3">
        <v>1.05</v>
      </c>
      <c r="D4" s="3">
        <v>1.05</v>
      </c>
      <c r="E4" s="3">
        <v>1.05</v>
      </c>
      <c r="F4" s="3">
        <v>1.05</v>
      </c>
      <c r="G4" s="3">
        <v>1.05</v>
      </c>
      <c r="H4" s="3">
        <v>1.05</v>
      </c>
      <c r="I4" s="3">
        <v>1.05</v>
      </c>
    </row>
    <row r="5" spans="1:9" x14ac:dyDescent="0.2">
      <c r="A5" s="3">
        <v>10</v>
      </c>
      <c r="B5" s="3" t="s">
        <v>12</v>
      </c>
      <c r="C5" s="3">
        <v>1.02</v>
      </c>
      <c r="D5" s="3">
        <v>1.05</v>
      </c>
      <c r="E5" s="3">
        <v>1.1100000000000001</v>
      </c>
      <c r="F5" s="3">
        <v>1.19</v>
      </c>
      <c r="G5" s="3">
        <v>1.29</v>
      </c>
      <c r="H5" s="3">
        <v>1.39</v>
      </c>
      <c r="I5" s="3">
        <v>1.74</v>
      </c>
    </row>
    <row r="6" spans="1:9" x14ac:dyDescent="0.2">
      <c r="A6" s="3">
        <v>11</v>
      </c>
      <c r="B6" s="3" t="s">
        <v>13</v>
      </c>
      <c r="C6" s="3">
        <v>1.02</v>
      </c>
      <c r="D6" s="3">
        <v>1.04</v>
      </c>
      <c r="E6" s="3">
        <v>1.1000000000000001</v>
      </c>
      <c r="F6" s="3">
        <v>1.18</v>
      </c>
      <c r="G6" s="3">
        <v>1.27</v>
      </c>
      <c r="H6" s="3">
        <v>1.38</v>
      </c>
      <c r="I6" s="3">
        <v>1.73</v>
      </c>
    </row>
    <row r="7" spans="1:9" x14ac:dyDescent="0.2">
      <c r="A7" s="3">
        <v>12</v>
      </c>
      <c r="B7" s="3" t="s">
        <v>14</v>
      </c>
      <c r="C7" s="3">
        <v>1.33</v>
      </c>
      <c r="D7" s="3">
        <v>1.41</v>
      </c>
      <c r="E7" s="3">
        <v>1.55</v>
      </c>
      <c r="F7" s="3">
        <v>1.76</v>
      </c>
      <c r="G7" s="3">
        <v>2.0299999999999998</v>
      </c>
      <c r="H7" s="3">
        <v>2.2400000000000002</v>
      </c>
      <c r="I7" s="3">
        <v>3.18</v>
      </c>
    </row>
    <row r="8" spans="1:9" x14ac:dyDescent="0.2">
      <c r="A8" s="3">
        <v>15</v>
      </c>
      <c r="B8" s="3" t="s">
        <v>15</v>
      </c>
      <c r="C8" s="3">
        <v>1.33</v>
      </c>
      <c r="D8" s="3">
        <v>1.41</v>
      </c>
      <c r="E8" s="3">
        <v>1.55</v>
      </c>
      <c r="F8" s="3">
        <v>1.76</v>
      </c>
      <c r="G8" s="3">
        <v>2.0299999999999998</v>
      </c>
      <c r="H8" s="3">
        <v>2.2400000000000002</v>
      </c>
      <c r="I8" s="3">
        <v>3.18</v>
      </c>
    </row>
    <row r="9" spans="1:9" x14ac:dyDescent="0.2">
      <c r="A9" s="3">
        <v>16</v>
      </c>
      <c r="B9" s="3" t="s">
        <v>16</v>
      </c>
      <c r="C9" s="3">
        <v>1.33</v>
      </c>
      <c r="D9" s="3">
        <v>1.41</v>
      </c>
      <c r="E9" s="3">
        <v>1.55</v>
      </c>
      <c r="F9" s="3">
        <v>1.76</v>
      </c>
      <c r="G9" s="3">
        <v>2.0299999999999998</v>
      </c>
      <c r="H9" s="3">
        <v>2.2400000000000002</v>
      </c>
      <c r="I9" s="3">
        <v>3.18</v>
      </c>
    </row>
    <row r="10" spans="1:9" x14ac:dyDescent="0.2">
      <c r="A10" s="3">
        <v>19</v>
      </c>
      <c r="B10" s="3" t="s">
        <v>17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</row>
    <row r="11" spans="1:9" x14ac:dyDescent="0.2">
      <c r="A11" s="3">
        <v>20</v>
      </c>
      <c r="B11" s="3" t="s">
        <v>18</v>
      </c>
      <c r="C11" s="3">
        <v>1.01</v>
      </c>
      <c r="D11" s="3">
        <v>1.03</v>
      </c>
      <c r="E11" s="3">
        <v>1.0900000000000001</v>
      </c>
      <c r="F11" s="3">
        <v>1.17</v>
      </c>
      <c r="G11" s="3">
        <v>1.24</v>
      </c>
      <c r="H11" s="3">
        <v>1.37</v>
      </c>
      <c r="I11" s="3">
        <v>1.73</v>
      </c>
    </row>
    <row r="12" spans="1:9" x14ac:dyDescent="0.2">
      <c r="A12" s="3">
        <v>22</v>
      </c>
      <c r="B12" s="3" t="s">
        <v>19</v>
      </c>
      <c r="C12" s="3">
        <v>1.02</v>
      </c>
      <c r="D12" s="3">
        <v>1.04</v>
      </c>
      <c r="E12" s="3">
        <v>1.1000000000000001</v>
      </c>
      <c r="F12" s="3">
        <v>1.18</v>
      </c>
      <c r="G12" s="3">
        <v>1.27</v>
      </c>
      <c r="H12" s="3">
        <v>1.38</v>
      </c>
      <c r="I12" s="3">
        <v>1.73</v>
      </c>
    </row>
    <row r="13" spans="1:9" x14ac:dyDescent="0.2">
      <c r="A13" s="3">
        <v>23</v>
      </c>
      <c r="B13" s="3" t="s">
        <v>20</v>
      </c>
      <c r="C13" s="3">
        <v>1.02</v>
      </c>
      <c r="D13" s="3">
        <v>1.04</v>
      </c>
      <c r="E13" s="3">
        <v>1.1000000000000001</v>
      </c>
      <c r="F13" s="3">
        <v>1.18</v>
      </c>
      <c r="G13" s="3">
        <v>1.27</v>
      </c>
      <c r="H13" s="3">
        <v>1.38</v>
      </c>
      <c r="I13" s="3">
        <v>1.74</v>
      </c>
    </row>
    <row r="14" spans="1:9" x14ac:dyDescent="0.2">
      <c r="A14" s="3">
        <v>24</v>
      </c>
      <c r="B14" s="3" t="s">
        <v>21</v>
      </c>
      <c r="C14" s="3">
        <v>1.02</v>
      </c>
      <c r="D14" s="3">
        <v>1.04</v>
      </c>
      <c r="E14" s="3">
        <v>1.0900000000000001</v>
      </c>
      <c r="F14" s="3">
        <v>1.18</v>
      </c>
      <c r="G14" s="3">
        <v>1.26</v>
      </c>
      <c r="H14" s="3">
        <v>1.37</v>
      </c>
      <c r="I14" s="3">
        <v>1.73</v>
      </c>
    </row>
    <row r="15" spans="1:9" x14ac:dyDescent="0.2">
      <c r="A15" s="3">
        <v>25</v>
      </c>
      <c r="B15" s="3" t="s">
        <v>22</v>
      </c>
      <c r="C15" s="3">
        <v>1.48</v>
      </c>
      <c r="D15" s="3">
        <v>1.48</v>
      </c>
      <c r="E15" s="3">
        <v>1.48</v>
      </c>
      <c r="F15" s="3">
        <v>1.48</v>
      </c>
      <c r="G15" s="3">
        <v>1.48</v>
      </c>
      <c r="H15" s="3">
        <v>1.48</v>
      </c>
      <c r="I15" s="3">
        <v>1.48</v>
      </c>
    </row>
    <row r="16" spans="1:9" x14ac:dyDescent="0.2">
      <c r="A16" s="3">
        <v>26</v>
      </c>
      <c r="B16" s="3" t="s">
        <v>23</v>
      </c>
      <c r="C16" s="3">
        <v>2.15</v>
      </c>
      <c r="D16" s="3">
        <v>2.15</v>
      </c>
      <c r="E16" s="3">
        <v>2.15</v>
      </c>
      <c r="F16" s="3">
        <v>2.15</v>
      </c>
      <c r="G16" s="3">
        <v>2.15</v>
      </c>
      <c r="H16" s="3">
        <v>2.15</v>
      </c>
      <c r="I16" s="3">
        <v>2.15</v>
      </c>
    </row>
    <row r="17" spans="1:9" x14ac:dyDescent="0.2">
      <c r="A17" s="3">
        <v>27</v>
      </c>
      <c r="B17" s="3" t="s">
        <v>24</v>
      </c>
      <c r="C17" s="3">
        <v>1.05</v>
      </c>
      <c r="D17" s="3">
        <v>1.08</v>
      </c>
      <c r="E17" s="3">
        <v>1.18</v>
      </c>
      <c r="F17" s="3">
        <v>1.26</v>
      </c>
      <c r="G17" s="3">
        <v>1.38</v>
      </c>
      <c r="H17" s="3">
        <v>1.45</v>
      </c>
      <c r="I17" s="3">
        <v>2.15</v>
      </c>
    </row>
    <row r="18" spans="1:9" x14ac:dyDescent="0.2">
      <c r="A18" s="3">
        <v>29</v>
      </c>
      <c r="B18" s="3" t="s">
        <v>25</v>
      </c>
      <c r="C18" s="3">
        <v>1.1000000000000001</v>
      </c>
      <c r="D18" s="3">
        <v>1.19</v>
      </c>
      <c r="E18" s="3">
        <v>1.4</v>
      </c>
      <c r="F18" s="3">
        <v>1.68</v>
      </c>
      <c r="G18" s="3">
        <v>2.25</v>
      </c>
      <c r="H18" s="3">
        <v>3.03</v>
      </c>
      <c r="I18" s="3">
        <v>10.050000000000001</v>
      </c>
    </row>
    <row r="19" spans="1:9" x14ac:dyDescent="0.2">
      <c r="A19" s="3">
        <v>30</v>
      </c>
      <c r="B19" s="3" t="s">
        <v>26</v>
      </c>
      <c r="C19" s="3">
        <v>1.1000000000000001</v>
      </c>
      <c r="D19" s="3">
        <v>1.19</v>
      </c>
      <c r="E19" s="3">
        <v>1.37</v>
      </c>
      <c r="F19" s="3">
        <v>1.59</v>
      </c>
      <c r="G19" s="3">
        <v>2</v>
      </c>
      <c r="H19" s="3">
        <v>2.58</v>
      </c>
      <c r="I19" s="3">
        <v>7.9</v>
      </c>
    </row>
    <row r="20" spans="1:9" x14ac:dyDescent="0.2">
      <c r="A20" s="3">
        <v>31</v>
      </c>
      <c r="B20" s="3" t="s">
        <v>27</v>
      </c>
      <c r="C20" s="3">
        <v>1.05</v>
      </c>
      <c r="D20" s="3">
        <v>1.08</v>
      </c>
      <c r="E20" s="3">
        <v>1.18</v>
      </c>
      <c r="F20" s="3">
        <v>1.26</v>
      </c>
      <c r="G20" s="3">
        <v>1.38</v>
      </c>
      <c r="H20" s="3">
        <v>1.45</v>
      </c>
      <c r="I20" s="3">
        <v>2.15</v>
      </c>
    </row>
    <row r="21" spans="1:9" x14ac:dyDescent="0.2">
      <c r="A21" s="3">
        <v>32</v>
      </c>
      <c r="B21" s="3" t="s">
        <v>28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</row>
    <row r="22" spans="1:9" x14ac:dyDescent="0.2">
      <c r="A22" s="3">
        <v>33</v>
      </c>
      <c r="B22" s="3" t="s">
        <v>29</v>
      </c>
      <c r="C22" s="3">
        <v>1.02</v>
      </c>
      <c r="D22" s="3">
        <v>1.04</v>
      </c>
      <c r="E22" s="3">
        <v>1.0900000000000001</v>
      </c>
      <c r="F22" s="3">
        <v>1.1399999999999999</v>
      </c>
      <c r="G22" s="3">
        <v>1.2</v>
      </c>
      <c r="H22" s="3">
        <v>1.26</v>
      </c>
      <c r="I22" s="3">
        <v>1.5</v>
      </c>
    </row>
    <row r="23" spans="1:9" x14ac:dyDescent="0.2">
      <c r="A23" s="3">
        <v>37</v>
      </c>
      <c r="B23" s="3" t="s">
        <v>30</v>
      </c>
      <c r="C23" s="3">
        <v>1.06</v>
      </c>
      <c r="D23" s="3">
        <v>1.1200000000000001</v>
      </c>
      <c r="E23" s="3">
        <v>1.24</v>
      </c>
      <c r="F23" s="3">
        <v>1.32</v>
      </c>
      <c r="G23" s="3">
        <v>1.43</v>
      </c>
      <c r="H23" s="3">
        <v>1.56</v>
      </c>
      <c r="I23" s="3">
        <v>2.88</v>
      </c>
    </row>
    <row r="24" spans="1:9" x14ac:dyDescent="0.2">
      <c r="A24" s="3">
        <v>39</v>
      </c>
      <c r="B24" s="3" t="s">
        <v>31</v>
      </c>
      <c r="C24" s="3">
        <v>1.48</v>
      </c>
      <c r="D24" s="3">
        <v>1.48</v>
      </c>
      <c r="E24" s="3">
        <v>1.48</v>
      </c>
      <c r="F24" s="3">
        <v>1.48</v>
      </c>
      <c r="G24" s="3">
        <v>1.48</v>
      </c>
      <c r="H24" s="3">
        <v>1.48</v>
      </c>
      <c r="I24" s="3">
        <v>1.48</v>
      </c>
    </row>
    <row r="25" spans="1:9" x14ac:dyDescent="0.2">
      <c r="A25" s="3">
        <v>40</v>
      </c>
      <c r="B25" s="3" t="s">
        <v>32</v>
      </c>
      <c r="C25" s="3">
        <v>1.1599999999999999</v>
      </c>
      <c r="D25" s="3">
        <v>1.23</v>
      </c>
      <c r="E25" s="3">
        <v>1.36</v>
      </c>
      <c r="F25" s="3">
        <v>1.45</v>
      </c>
      <c r="G25" s="3">
        <v>1.55</v>
      </c>
      <c r="H25" s="3">
        <v>1.7</v>
      </c>
      <c r="I25" s="3">
        <v>2.2200000000000002</v>
      </c>
    </row>
    <row r="26" spans="1:9" x14ac:dyDescent="0.2">
      <c r="A26" s="3">
        <v>41</v>
      </c>
      <c r="B26" s="3" t="s">
        <v>33</v>
      </c>
      <c r="C26" s="3">
        <v>1.02</v>
      </c>
      <c r="D26" s="3">
        <v>1.04</v>
      </c>
      <c r="E26" s="3">
        <v>1.1000000000000001</v>
      </c>
      <c r="F26" s="3">
        <v>1.18</v>
      </c>
      <c r="G26" s="3">
        <v>1.26</v>
      </c>
      <c r="H26" s="3">
        <v>1.39</v>
      </c>
      <c r="I26" s="3">
        <v>1.73</v>
      </c>
    </row>
    <row r="27" spans="1:9" x14ac:dyDescent="0.2">
      <c r="A27" s="3">
        <v>42</v>
      </c>
      <c r="B27" s="3" t="s">
        <v>34</v>
      </c>
      <c r="C27" s="3">
        <v>1.77</v>
      </c>
      <c r="D27" s="3">
        <v>1.77</v>
      </c>
      <c r="E27" s="3">
        <v>1.77</v>
      </c>
      <c r="F27" s="3">
        <v>1.77</v>
      </c>
      <c r="G27" s="3">
        <v>1.77</v>
      </c>
      <c r="H27" s="3">
        <v>1.77</v>
      </c>
      <c r="I27" s="3">
        <v>1.77</v>
      </c>
    </row>
    <row r="28" spans="1:9" x14ac:dyDescent="0.2">
      <c r="A28" s="3">
        <v>45</v>
      </c>
      <c r="B28" s="3" t="s">
        <v>35</v>
      </c>
      <c r="C28" s="3">
        <v>1.0900000000000001</v>
      </c>
      <c r="D28" s="3">
        <v>1.1000000000000001</v>
      </c>
      <c r="E28" s="3">
        <v>1.1000000000000001</v>
      </c>
      <c r="F28" s="3">
        <v>1.1000000000000001</v>
      </c>
      <c r="G28" s="3">
        <v>1.1000000000000001</v>
      </c>
      <c r="H28" s="3">
        <v>1.1000000000000001</v>
      </c>
      <c r="I28" s="3">
        <v>1.1100000000000001</v>
      </c>
    </row>
    <row r="29" spans="1:9" x14ac:dyDescent="0.2">
      <c r="A29" s="3">
        <v>46</v>
      </c>
      <c r="B29" s="3" t="s">
        <v>36</v>
      </c>
      <c r="C29" s="3">
        <v>1.02</v>
      </c>
      <c r="D29" s="3">
        <v>1.04</v>
      </c>
      <c r="E29" s="3">
        <v>1.1000000000000001</v>
      </c>
      <c r="F29" s="3">
        <v>1.18</v>
      </c>
      <c r="G29" s="3">
        <v>1.26</v>
      </c>
      <c r="H29" s="3">
        <v>1.39</v>
      </c>
      <c r="I29" s="3">
        <v>1.74</v>
      </c>
    </row>
    <row r="30" spans="1:9" x14ac:dyDescent="0.2">
      <c r="A30" s="3">
        <v>51</v>
      </c>
      <c r="B30" s="3" t="s">
        <v>37</v>
      </c>
      <c r="C30" s="3">
        <v>2.15</v>
      </c>
      <c r="D30" s="3">
        <v>2.15</v>
      </c>
      <c r="E30" s="3">
        <v>2.15</v>
      </c>
      <c r="F30" s="3">
        <v>2.15</v>
      </c>
      <c r="G30" s="3">
        <v>2.15</v>
      </c>
      <c r="H30" s="3">
        <v>2.15</v>
      </c>
      <c r="I30" s="3">
        <v>2.15</v>
      </c>
    </row>
    <row r="31" spans="1:9" x14ac:dyDescent="0.2">
      <c r="A31" s="3">
        <v>53</v>
      </c>
      <c r="B31" s="3" t="s">
        <v>38</v>
      </c>
      <c r="C31" s="3">
        <v>1.02</v>
      </c>
      <c r="D31" s="3">
        <v>1.05</v>
      </c>
      <c r="E31" s="3">
        <v>1.1100000000000001</v>
      </c>
      <c r="F31" s="3">
        <v>1.19</v>
      </c>
      <c r="G31" s="3">
        <v>1.29</v>
      </c>
      <c r="H31" s="3">
        <v>1.39</v>
      </c>
      <c r="I31" s="3">
        <v>1.74</v>
      </c>
    </row>
    <row r="32" spans="1:9" x14ac:dyDescent="0.2">
      <c r="A32" s="3">
        <v>71</v>
      </c>
      <c r="B32" s="3" t="s">
        <v>39</v>
      </c>
      <c r="C32" s="3">
        <v>1.74</v>
      </c>
      <c r="D32" s="3">
        <v>2.15</v>
      </c>
      <c r="E32" s="3">
        <v>2.15</v>
      </c>
      <c r="F32" s="3">
        <v>2.15</v>
      </c>
      <c r="G32" s="3">
        <v>2.15</v>
      </c>
      <c r="H32" s="3">
        <v>2.15</v>
      </c>
      <c r="I32" s="3">
        <v>2.15</v>
      </c>
    </row>
    <row r="33" spans="1:9" x14ac:dyDescent="0.2">
      <c r="A33" s="3">
        <v>72</v>
      </c>
      <c r="B33" s="3" t="s">
        <v>40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</row>
    <row r="34" spans="1:9" x14ac:dyDescent="0.2">
      <c r="A34" s="3">
        <v>82</v>
      </c>
      <c r="B34" s="3" t="s">
        <v>41</v>
      </c>
      <c r="C34" s="3">
        <v>1.02</v>
      </c>
      <c r="D34" s="3">
        <v>1.04</v>
      </c>
      <c r="E34" s="3">
        <v>1.1000000000000001</v>
      </c>
      <c r="F34" s="3">
        <v>1.18</v>
      </c>
      <c r="G34" s="3">
        <v>1.27</v>
      </c>
      <c r="H34" s="3">
        <v>1.38</v>
      </c>
      <c r="I34" s="3">
        <v>1.74</v>
      </c>
    </row>
    <row r="35" spans="1:9" x14ac:dyDescent="0.2">
      <c r="A35" s="3">
        <v>90</v>
      </c>
      <c r="B35" s="3" t="s">
        <v>42</v>
      </c>
      <c r="C35" s="3">
        <v>0.99</v>
      </c>
      <c r="D35" s="3">
        <v>1.01</v>
      </c>
      <c r="E35" s="3">
        <v>1.06</v>
      </c>
      <c r="F35" s="3">
        <v>1.1299999999999999</v>
      </c>
      <c r="G35" s="3">
        <v>1.22</v>
      </c>
      <c r="H35" s="3">
        <v>1.33</v>
      </c>
      <c r="I35" s="3">
        <v>1.68</v>
      </c>
    </row>
    <row r="36" spans="1:9" x14ac:dyDescent="0.2">
      <c r="A36" s="3">
        <v>91</v>
      </c>
      <c r="B36" s="3" t="s">
        <v>43</v>
      </c>
      <c r="C36" s="3">
        <v>1.48</v>
      </c>
      <c r="D36" s="3">
        <v>1.48</v>
      </c>
      <c r="E36" s="3">
        <v>1.48</v>
      </c>
      <c r="F36" s="3">
        <v>1.48</v>
      </c>
      <c r="G36" s="3">
        <v>1.48</v>
      </c>
      <c r="H36" s="3">
        <v>1.48</v>
      </c>
      <c r="I36" s="3">
        <v>1.48</v>
      </c>
    </row>
    <row r="37" spans="1:9" x14ac:dyDescent="0.2">
      <c r="A37" s="3">
        <v>92</v>
      </c>
      <c r="B37" s="3" t="s">
        <v>44</v>
      </c>
      <c r="C37" s="3">
        <v>1.07</v>
      </c>
      <c r="D37" s="3">
        <v>1.08</v>
      </c>
      <c r="E37" s="3">
        <v>1.08</v>
      </c>
      <c r="F37" s="3">
        <v>1.08</v>
      </c>
      <c r="G37" s="3">
        <v>1.08</v>
      </c>
      <c r="H37" s="3">
        <v>1.08</v>
      </c>
      <c r="I37" s="3">
        <v>1.08</v>
      </c>
    </row>
    <row r="38" spans="1:9" x14ac:dyDescent="0.2">
      <c r="A38" s="3">
        <v>93</v>
      </c>
      <c r="B38" s="3" t="s">
        <v>45</v>
      </c>
      <c r="C38" s="3">
        <v>0.8</v>
      </c>
      <c r="D38" s="3">
        <v>0.91</v>
      </c>
      <c r="E38" s="3">
        <v>1.02</v>
      </c>
      <c r="F38" s="3">
        <v>1.07</v>
      </c>
      <c r="G38" s="3">
        <v>1.1100000000000001</v>
      </c>
      <c r="H38" s="3">
        <v>1.17</v>
      </c>
      <c r="I38" s="3">
        <v>2.15</v>
      </c>
    </row>
    <row r="39" spans="1:9" x14ac:dyDescent="0.2">
      <c r="A39" s="3">
        <v>94</v>
      </c>
      <c r="B39" s="3" t="s">
        <v>46</v>
      </c>
      <c r="C39" s="3">
        <v>1.48</v>
      </c>
      <c r="D39" s="3">
        <v>1.48</v>
      </c>
      <c r="E39" s="3">
        <v>1.48</v>
      </c>
      <c r="F39" s="3">
        <v>1.48</v>
      </c>
      <c r="G39" s="3">
        <v>1.48</v>
      </c>
      <c r="H39" s="3">
        <v>1.48</v>
      </c>
      <c r="I39" s="3">
        <v>1.48</v>
      </c>
    </row>
    <row r="40" spans="1:9" x14ac:dyDescent="0.2">
      <c r="A40" s="3">
        <v>95</v>
      </c>
      <c r="B40" s="3" t="s">
        <v>47</v>
      </c>
      <c r="C40" s="3">
        <v>1.05</v>
      </c>
      <c r="D40" s="3">
        <v>1.08</v>
      </c>
      <c r="E40" s="3">
        <v>1.18</v>
      </c>
      <c r="F40" s="3">
        <v>1.26</v>
      </c>
      <c r="G40" s="3">
        <v>1.38</v>
      </c>
      <c r="H40" s="3">
        <v>1.45</v>
      </c>
      <c r="I40" s="3">
        <v>2.15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tabSelected="1" topLeftCell="A17" workbookViewId="0">
      <selection activeCell="M24" sqref="M24"/>
    </sheetView>
  </sheetViews>
  <sheetFormatPr defaultRowHeight="15" x14ac:dyDescent="0.25"/>
  <cols>
    <col min="2" max="2" width="61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>
        <v>100000</v>
      </c>
    </row>
    <row r="2" spans="1:12" x14ac:dyDescent="0.25">
      <c r="A2">
        <v>3</v>
      </c>
      <c r="B2" t="s">
        <v>9</v>
      </c>
      <c r="C2">
        <v>63.2</v>
      </c>
      <c r="D2">
        <v>0</v>
      </c>
      <c r="E2">
        <v>72.5</v>
      </c>
      <c r="F2">
        <v>72.5</v>
      </c>
      <c r="G2">
        <v>72.5</v>
      </c>
      <c r="H2">
        <v>72.5</v>
      </c>
      <c r="I2">
        <v>72.5</v>
      </c>
      <c r="J2">
        <v>72.5</v>
      </c>
      <c r="K2">
        <v>72.5</v>
      </c>
      <c r="L2">
        <f>K2</f>
        <v>72.5</v>
      </c>
    </row>
    <row r="3" spans="1:12" x14ac:dyDescent="0.25">
      <c r="A3">
        <v>4</v>
      </c>
      <c r="B3" t="s">
        <v>10</v>
      </c>
      <c r="C3">
        <v>63.2</v>
      </c>
      <c r="D3">
        <v>0</v>
      </c>
      <c r="E3">
        <v>1.9999999999996021E-2</v>
      </c>
      <c r="F3">
        <v>2.9999999999994031E-2</v>
      </c>
      <c r="G3">
        <v>5.9999999999995168E-2</v>
      </c>
      <c r="H3">
        <v>8.9999999999996305E-2</v>
      </c>
      <c r="I3">
        <v>0.1199999999999974</v>
      </c>
      <c r="J3">
        <v>0.1400000000000006</v>
      </c>
      <c r="K3">
        <v>0.1699999999999946</v>
      </c>
      <c r="L3">
        <f t="shared" ref="L3:L40" si="0">K3</f>
        <v>0.1699999999999946</v>
      </c>
    </row>
    <row r="4" spans="1:12" x14ac:dyDescent="0.25">
      <c r="A4">
        <v>6</v>
      </c>
      <c r="B4" t="s">
        <v>11</v>
      </c>
      <c r="C4">
        <v>63.2</v>
      </c>
      <c r="D4">
        <v>0</v>
      </c>
      <c r="E4">
        <v>17.09</v>
      </c>
      <c r="F4">
        <v>17.09</v>
      </c>
      <c r="G4">
        <v>17.09</v>
      </c>
      <c r="H4">
        <v>17.09</v>
      </c>
      <c r="I4">
        <v>17.09</v>
      </c>
      <c r="J4">
        <v>17.09</v>
      </c>
      <c r="K4">
        <v>17.09</v>
      </c>
      <c r="L4">
        <f t="shared" si="0"/>
        <v>17.09</v>
      </c>
    </row>
    <row r="5" spans="1:12" x14ac:dyDescent="0.25">
      <c r="A5">
        <v>10</v>
      </c>
      <c r="B5" t="s">
        <v>12</v>
      </c>
      <c r="C5">
        <v>63.2</v>
      </c>
      <c r="D5">
        <v>0</v>
      </c>
      <c r="E5">
        <v>12.39</v>
      </c>
      <c r="F5">
        <v>20.45</v>
      </c>
      <c r="G5">
        <v>29.179999999999989</v>
      </c>
      <c r="H5">
        <v>33.489999999999988</v>
      </c>
      <c r="I5">
        <v>35.700000000000003</v>
      </c>
      <c r="J5">
        <v>36.81</v>
      </c>
      <c r="K5">
        <v>37.729999999999997</v>
      </c>
      <c r="L5">
        <f t="shared" si="0"/>
        <v>37.729999999999997</v>
      </c>
    </row>
    <row r="6" spans="1:12" x14ac:dyDescent="0.25">
      <c r="A6">
        <v>11</v>
      </c>
      <c r="B6" t="s">
        <v>13</v>
      </c>
      <c r="C6">
        <v>63.2</v>
      </c>
      <c r="D6">
        <v>0</v>
      </c>
      <c r="E6">
        <v>0.73999999999999488</v>
      </c>
      <c r="F6">
        <v>9.9500000000000028</v>
      </c>
      <c r="G6">
        <v>19.77</v>
      </c>
      <c r="H6">
        <v>24.53</v>
      </c>
      <c r="I6">
        <v>26.98</v>
      </c>
      <c r="J6">
        <v>28.11</v>
      </c>
      <c r="K6">
        <v>29.14</v>
      </c>
      <c r="L6">
        <f t="shared" si="0"/>
        <v>29.14</v>
      </c>
    </row>
    <row r="7" spans="1:12" x14ac:dyDescent="0.25">
      <c r="A7">
        <v>12</v>
      </c>
      <c r="B7" t="s">
        <v>14</v>
      </c>
      <c r="C7">
        <v>63.2</v>
      </c>
      <c r="D7">
        <v>0</v>
      </c>
      <c r="E7">
        <v>0.12999999999999551</v>
      </c>
      <c r="F7">
        <v>0.15999999999999659</v>
      </c>
      <c r="G7">
        <v>0.1899999999999977</v>
      </c>
      <c r="H7">
        <v>0.21999999999999889</v>
      </c>
      <c r="I7">
        <v>0.23999999999999491</v>
      </c>
      <c r="J7">
        <v>0.25999999999999801</v>
      </c>
      <c r="K7">
        <v>0.29999999999999721</v>
      </c>
      <c r="L7">
        <f t="shared" si="0"/>
        <v>0.29999999999999721</v>
      </c>
    </row>
    <row r="8" spans="1:12" x14ac:dyDescent="0.25">
      <c r="A8">
        <v>15</v>
      </c>
      <c r="B8" t="s">
        <v>15</v>
      </c>
      <c r="C8">
        <v>63.2</v>
      </c>
      <c r="D8">
        <v>0</v>
      </c>
      <c r="E8">
        <v>0.12999999999999551</v>
      </c>
      <c r="F8">
        <v>0.15999999999999659</v>
      </c>
      <c r="G8">
        <v>0.1899999999999977</v>
      </c>
      <c r="H8">
        <v>0.21999999999999889</v>
      </c>
      <c r="I8">
        <v>0.23999999999999491</v>
      </c>
      <c r="J8">
        <v>0.25999999999999801</v>
      </c>
      <c r="K8">
        <v>0.29999999999999721</v>
      </c>
      <c r="L8">
        <f t="shared" si="0"/>
        <v>0.29999999999999721</v>
      </c>
    </row>
    <row r="9" spans="1:12" x14ac:dyDescent="0.25">
      <c r="A9">
        <v>16</v>
      </c>
      <c r="B9" t="s">
        <v>16</v>
      </c>
      <c r="C9">
        <v>63.2</v>
      </c>
      <c r="D9">
        <v>0</v>
      </c>
      <c r="E9">
        <v>0.12999999999999551</v>
      </c>
      <c r="F9">
        <v>0.15999999999999659</v>
      </c>
      <c r="G9">
        <v>0.1899999999999977</v>
      </c>
      <c r="H9">
        <v>0.21999999999999889</v>
      </c>
      <c r="I9">
        <v>0.23999999999999491</v>
      </c>
      <c r="J9">
        <v>0.25999999999999801</v>
      </c>
      <c r="K9">
        <v>0.29999999999999721</v>
      </c>
      <c r="L9">
        <f t="shared" si="0"/>
        <v>0.29999999999999721</v>
      </c>
    </row>
    <row r="10" spans="1:12" x14ac:dyDescent="0.25">
      <c r="A10">
        <v>19</v>
      </c>
      <c r="B10" t="s">
        <v>17</v>
      </c>
      <c r="C10">
        <v>63.2</v>
      </c>
      <c r="D10">
        <v>0</v>
      </c>
      <c r="E10">
        <v>63.2</v>
      </c>
      <c r="F10">
        <v>63.2</v>
      </c>
      <c r="G10">
        <v>63.2</v>
      </c>
      <c r="H10">
        <v>63.2</v>
      </c>
      <c r="I10">
        <v>63.2</v>
      </c>
      <c r="J10">
        <v>63.2</v>
      </c>
      <c r="K10">
        <v>63.2</v>
      </c>
      <c r="L10">
        <f t="shared" si="0"/>
        <v>63.2</v>
      </c>
    </row>
    <row r="11" spans="1:12" x14ac:dyDescent="0.25">
      <c r="A11">
        <v>20</v>
      </c>
      <c r="B11" t="s">
        <v>18</v>
      </c>
      <c r="C11">
        <v>63.2</v>
      </c>
      <c r="D11">
        <v>0</v>
      </c>
      <c r="E11">
        <v>11.70999999999999</v>
      </c>
      <c r="F11">
        <v>21.61</v>
      </c>
      <c r="G11">
        <v>32.149999999999991</v>
      </c>
      <c r="H11">
        <v>37.19</v>
      </c>
      <c r="I11">
        <v>39.789999999999992</v>
      </c>
      <c r="J11">
        <v>41.099999999999987</v>
      </c>
      <c r="K11">
        <v>42.22</v>
      </c>
      <c r="L11">
        <f t="shared" si="0"/>
        <v>42.22</v>
      </c>
    </row>
    <row r="12" spans="1:12" x14ac:dyDescent="0.25">
      <c r="A12">
        <v>22</v>
      </c>
      <c r="B12" t="s">
        <v>19</v>
      </c>
      <c r="C12">
        <v>63.2</v>
      </c>
      <c r="D12">
        <v>0</v>
      </c>
      <c r="E12">
        <v>1.140000000000001</v>
      </c>
      <c r="F12">
        <v>10.349999999999991</v>
      </c>
      <c r="G12">
        <v>20.16</v>
      </c>
      <c r="H12">
        <v>24.91</v>
      </c>
      <c r="I12">
        <v>27.36</v>
      </c>
      <c r="J12">
        <v>28.509999999999991</v>
      </c>
      <c r="K12">
        <v>29.53</v>
      </c>
      <c r="L12">
        <f t="shared" si="0"/>
        <v>29.53</v>
      </c>
    </row>
    <row r="13" spans="1:12" x14ac:dyDescent="0.25">
      <c r="A13">
        <v>23</v>
      </c>
      <c r="B13" t="s">
        <v>20</v>
      </c>
      <c r="C13">
        <v>63.2</v>
      </c>
      <c r="D13">
        <v>0</v>
      </c>
      <c r="E13">
        <v>8.9599999999999937</v>
      </c>
      <c r="F13">
        <v>17.56999999999999</v>
      </c>
      <c r="G13">
        <v>25.03</v>
      </c>
      <c r="H13">
        <v>27.19</v>
      </c>
      <c r="I13">
        <v>28.28</v>
      </c>
      <c r="J13">
        <v>28.73</v>
      </c>
      <c r="K13">
        <v>28.989999999999991</v>
      </c>
      <c r="L13">
        <f t="shared" si="0"/>
        <v>28.989999999999991</v>
      </c>
    </row>
    <row r="14" spans="1:12" x14ac:dyDescent="0.25">
      <c r="A14">
        <v>24</v>
      </c>
      <c r="B14" t="s">
        <v>21</v>
      </c>
      <c r="C14">
        <v>63.2</v>
      </c>
      <c r="D14">
        <v>0</v>
      </c>
      <c r="E14">
        <v>12.17</v>
      </c>
      <c r="F14">
        <v>21.11999999999999</v>
      </c>
      <c r="G14">
        <v>29.27</v>
      </c>
      <c r="H14">
        <v>31.509999999999991</v>
      </c>
      <c r="I14">
        <v>32.630000000000003</v>
      </c>
      <c r="J14">
        <v>33.11999999999999</v>
      </c>
      <c r="K14">
        <v>33.380000000000003</v>
      </c>
      <c r="L14">
        <f t="shared" si="0"/>
        <v>33.380000000000003</v>
      </c>
    </row>
    <row r="15" spans="1:12" x14ac:dyDescent="0.25">
      <c r="A15">
        <v>25</v>
      </c>
      <c r="B15" t="s">
        <v>22</v>
      </c>
      <c r="C15">
        <v>63.2</v>
      </c>
      <c r="D15">
        <v>0</v>
      </c>
      <c r="E15">
        <v>63.2</v>
      </c>
      <c r="F15">
        <v>63.2</v>
      </c>
      <c r="G15">
        <v>63.2</v>
      </c>
      <c r="H15">
        <v>63.2</v>
      </c>
      <c r="I15">
        <v>63.2</v>
      </c>
      <c r="J15">
        <v>63.2</v>
      </c>
      <c r="K15">
        <v>63.2</v>
      </c>
      <c r="L15">
        <f t="shared" si="0"/>
        <v>63.2</v>
      </c>
    </row>
    <row r="16" spans="1:12" x14ac:dyDescent="0.25">
      <c r="A16">
        <v>26</v>
      </c>
      <c r="B16" t="s">
        <v>23</v>
      </c>
      <c r="C16">
        <v>63.2</v>
      </c>
      <c r="D16">
        <v>0</v>
      </c>
      <c r="E16">
        <v>21.09</v>
      </c>
      <c r="F16">
        <v>21.09</v>
      </c>
      <c r="G16">
        <v>21.09</v>
      </c>
      <c r="H16">
        <v>21.09</v>
      </c>
      <c r="I16">
        <v>21.09</v>
      </c>
      <c r="J16">
        <v>21.09</v>
      </c>
      <c r="K16">
        <v>21.09</v>
      </c>
      <c r="L16">
        <f t="shared" si="0"/>
        <v>21.09</v>
      </c>
    </row>
    <row r="17" spans="1:12" x14ac:dyDescent="0.25">
      <c r="A17">
        <v>27</v>
      </c>
      <c r="B17" t="s">
        <v>24</v>
      </c>
      <c r="C17">
        <v>63.2</v>
      </c>
      <c r="D17">
        <v>0</v>
      </c>
      <c r="E17">
        <v>-21.09</v>
      </c>
      <c r="F17">
        <v>-6.7700000000000031</v>
      </c>
      <c r="G17">
        <v>3.3199999999999932</v>
      </c>
      <c r="H17">
        <v>7.039999999999992</v>
      </c>
      <c r="I17">
        <v>8.8699999999999903</v>
      </c>
      <c r="J17">
        <v>9.6199999999999903</v>
      </c>
      <c r="K17">
        <v>10.429999999999991</v>
      </c>
      <c r="L17">
        <f t="shared" si="0"/>
        <v>10.429999999999991</v>
      </c>
    </row>
    <row r="18" spans="1:12" x14ac:dyDescent="0.25">
      <c r="A18">
        <v>29</v>
      </c>
      <c r="B18" t="s">
        <v>25</v>
      </c>
      <c r="C18">
        <v>63.2</v>
      </c>
      <c r="D18">
        <v>0</v>
      </c>
      <c r="E18">
        <v>9.9999999999980105E-3</v>
      </c>
      <c r="F18">
        <v>1.9999999999996021E-2</v>
      </c>
      <c r="G18">
        <v>5.9999999999995168E-2</v>
      </c>
      <c r="H18">
        <v>9.9999999999994316E-2</v>
      </c>
      <c r="I18">
        <v>0.12999999999999551</v>
      </c>
      <c r="J18">
        <v>0.12999999999999551</v>
      </c>
      <c r="K18">
        <v>1.9999999999996021E-2</v>
      </c>
      <c r="L18">
        <f t="shared" si="0"/>
        <v>1.9999999999996021E-2</v>
      </c>
    </row>
    <row r="19" spans="1:12" x14ac:dyDescent="0.25">
      <c r="A19">
        <v>30</v>
      </c>
      <c r="B19" t="s">
        <v>26</v>
      </c>
      <c r="C19">
        <v>63.2</v>
      </c>
      <c r="D19">
        <v>0</v>
      </c>
      <c r="E19">
        <v>0</v>
      </c>
      <c r="F19">
        <v>1.9999999999996021E-2</v>
      </c>
      <c r="G19">
        <v>4.9999999999997158E-2</v>
      </c>
      <c r="H19">
        <v>7.9999999999998295E-2</v>
      </c>
      <c r="I19">
        <v>0.1099999999999994</v>
      </c>
      <c r="J19">
        <v>0.12999999999999551</v>
      </c>
      <c r="K19">
        <v>0.15999999999999659</v>
      </c>
      <c r="L19">
        <f t="shared" si="0"/>
        <v>0.15999999999999659</v>
      </c>
    </row>
    <row r="20" spans="1:12" x14ac:dyDescent="0.25">
      <c r="A20">
        <v>31</v>
      </c>
      <c r="B20" t="s">
        <v>27</v>
      </c>
      <c r="C20">
        <v>63.2</v>
      </c>
      <c r="D20">
        <v>0</v>
      </c>
      <c r="E20">
        <v>-21.09</v>
      </c>
      <c r="F20">
        <v>-6.7700000000000031</v>
      </c>
      <c r="G20">
        <v>3.3199999999999932</v>
      </c>
      <c r="H20">
        <v>7.039999999999992</v>
      </c>
      <c r="I20">
        <v>8.8699999999999903</v>
      </c>
      <c r="J20">
        <v>9.6199999999999903</v>
      </c>
      <c r="K20">
        <v>10.429999999999991</v>
      </c>
      <c r="L20">
        <f t="shared" si="0"/>
        <v>10.429999999999991</v>
      </c>
    </row>
    <row r="21" spans="1:12" x14ac:dyDescent="0.25">
      <c r="A21">
        <v>32</v>
      </c>
      <c r="B21" t="s">
        <v>28</v>
      </c>
      <c r="C21">
        <v>63.2</v>
      </c>
      <c r="D21">
        <v>0</v>
      </c>
      <c r="E21">
        <v>68.89</v>
      </c>
      <c r="F21">
        <v>68.89</v>
      </c>
      <c r="G21">
        <v>68.89</v>
      </c>
      <c r="H21">
        <v>68.89</v>
      </c>
      <c r="I21">
        <v>68.89</v>
      </c>
      <c r="J21">
        <v>68.89</v>
      </c>
      <c r="K21">
        <v>68.89</v>
      </c>
      <c r="L21">
        <f t="shared" si="0"/>
        <v>68.89</v>
      </c>
    </row>
    <row r="22" spans="1:12" x14ac:dyDescent="0.25">
      <c r="A22">
        <v>33</v>
      </c>
      <c r="B22" t="s">
        <v>29</v>
      </c>
      <c r="C22">
        <v>63.2</v>
      </c>
      <c r="D22">
        <v>0</v>
      </c>
      <c r="E22">
        <v>11.259999999999989</v>
      </c>
      <c r="F22">
        <v>18.399999999999991</v>
      </c>
      <c r="G22">
        <v>26.47</v>
      </c>
      <c r="H22">
        <v>30.83</v>
      </c>
      <c r="I22">
        <v>33.289999999999992</v>
      </c>
      <c r="J22">
        <v>34.700000000000003</v>
      </c>
      <c r="K22">
        <v>36.89</v>
      </c>
      <c r="L22">
        <f t="shared" si="0"/>
        <v>36.89</v>
      </c>
    </row>
    <row r="23" spans="1:12" x14ac:dyDescent="0.25">
      <c r="A23">
        <v>37</v>
      </c>
      <c r="B23" t="s">
        <v>30</v>
      </c>
      <c r="C23">
        <v>63.2</v>
      </c>
      <c r="D23">
        <v>0</v>
      </c>
      <c r="E23">
        <v>0</v>
      </c>
      <c r="F23">
        <v>9.9999999999980105E-3</v>
      </c>
      <c r="G23">
        <v>3.9999999999999147E-2</v>
      </c>
      <c r="H23">
        <v>7.0000000000000284E-2</v>
      </c>
      <c r="I23">
        <v>9.9999999999994316E-2</v>
      </c>
      <c r="J23">
        <v>0.12999999999999551</v>
      </c>
      <c r="K23">
        <v>0.25</v>
      </c>
      <c r="L23">
        <f t="shared" si="0"/>
        <v>0.25</v>
      </c>
    </row>
    <row r="24" spans="1:12" x14ac:dyDescent="0.25">
      <c r="A24">
        <v>39</v>
      </c>
      <c r="B24" t="s">
        <v>31</v>
      </c>
      <c r="C24">
        <v>63.2</v>
      </c>
      <c r="D24">
        <v>0</v>
      </c>
      <c r="E24">
        <v>63.2</v>
      </c>
      <c r="F24">
        <v>63.2</v>
      </c>
      <c r="G24">
        <v>63.2</v>
      </c>
      <c r="H24">
        <v>63.2</v>
      </c>
      <c r="I24">
        <v>63.2</v>
      </c>
      <c r="J24">
        <v>63.2</v>
      </c>
      <c r="K24">
        <v>63.2</v>
      </c>
      <c r="L24">
        <f t="shared" si="0"/>
        <v>63.2</v>
      </c>
    </row>
    <row r="25" spans="1:12" x14ac:dyDescent="0.25">
      <c r="A25">
        <v>40</v>
      </c>
      <c r="B25" t="s">
        <v>32</v>
      </c>
      <c r="C25">
        <v>63.2</v>
      </c>
      <c r="D25">
        <v>0</v>
      </c>
      <c r="E25">
        <v>5.9999999999995168E-2</v>
      </c>
      <c r="F25">
        <v>7.9999999999998295E-2</v>
      </c>
      <c r="G25">
        <v>0.1199999999999974</v>
      </c>
      <c r="H25">
        <v>0.1400000000000006</v>
      </c>
      <c r="I25">
        <v>0.1699999999999946</v>
      </c>
      <c r="J25">
        <v>0.1899999999999977</v>
      </c>
      <c r="K25">
        <v>0.25</v>
      </c>
      <c r="L25">
        <f t="shared" si="0"/>
        <v>0.25</v>
      </c>
    </row>
    <row r="26" spans="1:12" x14ac:dyDescent="0.25">
      <c r="A26">
        <v>41</v>
      </c>
      <c r="B26" t="s">
        <v>33</v>
      </c>
      <c r="C26">
        <v>63.2</v>
      </c>
      <c r="D26">
        <v>0</v>
      </c>
      <c r="E26">
        <v>-5.3100000000000023</v>
      </c>
      <c r="F26">
        <v>-5.3000000000000043</v>
      </c>
      <c r="G26">
        <v>-5.2900000000000063</v>
      </c>
      <c r="H26">
        <v>-5.2900000000000063</v>
      </c>
      <c r="I26">
        <v>-5.2900000000000063</v>
      </c>
      <c r="J26">
        <v>-5.3000000000000043</v>
      </c>
      <c r="K26">
        <v>-5.3100000000000023</v>
      </c>
      <c r="L26">
        <f t="shared" si="0"/>
        <v>-5.3100000000000023</v>
      </c>
    </row>
    <row r="27" spans="1:12" x14ac:dyDescent="0.25">
      <c r="A27">
        <v>42</v>
      </c>
      <c r="B27" t="s">
        <v>34</v>
      </c>
      <c r="C27">
        <v>63.2</v>
      </c>
      <c r="D27">
        <v>0</v>
      </c>
      <c r="E27">
        <v>0.2299999999999969</v>
      </c>
      <c r="F27">
        <v>0.25</v>
      </c>
      <c r="G27">
        <v>0.25999999999999801</v>
      </c>
      <c r="H27">
        <v>0.26999999999999602</v>
      </c>
      <c r="I27">
        <v>0.26999999999999602</v>
      </c>
      <c r="J27">
        <v>0.26999999999999602</v>
      </c>
      <c r="K27">
        <v>0.26999999999999602</v>
      </c>
      <c r="L27">
        <f t="shared" si="0"/>
        <v>0.26999999999999602</v>
      </c>
    </row>
    <row r="28" spans="1:12" x14ac:dyDescent="0.25">
      <c r="A28">
        <v>45</v>
      </c>
      <c r="B28" t="s">
        <v>35</v>
      </c>
      <c r="C28">
        <v>63.2</v>
      </c>
      <c r="D28">
        <v>0</v>
      </c>
      <c r="E28">
        <v>3.9999999999999147E-2</v>
      </c>
      <c r="F28">
        <v>5.9999999999995168E-2</v>
      </c>
      <c r="G28">
        <v>8.9999999999996305E-2</v>
      </c>
      <c r="H28">
        <v>0.1199999999999974</v>
      </c>
      <c r="I28">
        <v>0.1400000000000006</v>
      </c>
      <c r="J28">
        <v>0.15999999999999659</v>
      </c>
      <c r="K28">
        <v>0.1899999999999977</v>
      </c>
      <c r="L28">
        <f t="shared" si="0"/>
        <v>0.1899999999999977</v>
      </c>
    </row>
    <row r="29" spans="1:12" x14ac:dyDescent="0.25">
      <c r="A29">
        <v>46</v>
      </c>
      <c r="B29" t="s">
        <v>36</v>
      </c>
      <c r="C29">
        <v>63.2</v>
      </c>
      <c r="D29">
        <v>0</v>
      </c>
      <c r="E29">
        <v>-1.7700000000000029</v>
      </c>
      <c r="F29">
        <v>-1.7600000000000049</v>
      </c>
      <c r="G29">
        <v>-1.75</v>
      </c>
      <c r="H29">
        <v>-1.75</v>
      </c>
      <c r="I29">
        <v>-1.75</v>
      </c>
      <c r="J29">
        <v>-1.7600000000000049</v>
      </c>
      <c r="K29">
        <v>-1.7700000000000029</v>
      </c>
      <c r="L29">
        <f t="shared" si="0"/>
        <v>-1.7700000000000029</v>
      </c>
    </row>
    <row r="30" spans="1:12" x14ac:dyDescent="0.25">
      <c r="A30">
        <v>51</v>
      </c>
      <c r="B30" t="s">
        <v>37</v>
      </c>
      <c r="C30">
        <v>63.2</v>
      </c>
      <c r="D30">
        <v>0</v>
      </c>
      <c r="E30">
        <v>67.19</v>
      </c>
      <c r="F30">
        <v>67.19</v>
      </c>
      <c r="G30">
        <v>67.19</v>
      </c>
      <c r="H30">
        <v>67.19</v>
      </c>
      <c r="I30">
        <v>67.19</v>
      </c>
      <c r="J30">
        <v>67.19</v>
      </c>
      <c r="K30">
        <v>67.19</v>
      </c>
      <c r="L30">
        <f t="shared" si="0"/>
        <v>67.19</v>
      </c>
    </row>
    <row r="31" spans="1:12" x14ac:dyDescent="0.25">
      <c r="A31">
        <v>53</v>
      </c>
      <c r="B31" t="s">
        <v>38</v>
      </c>
      <c r="C31">
        <v>63.2</v>
      </c>
      <c r="D31">
        <v>0</v>
      </c>
      <c r="E31">
        <v>12.39</v>
      </c>
      <c r="F31">
        <v>20.45</v>
      </c>
      <c r="G31">
        <v>29.179999999999989</v>
      </c>
      <c r="H31">
        <v>33.489999999999988</v>
      </c>
      <c r="I31">
        <v>35.700000000000003</v>
      </c>
      <c r="J31">
        <v>36.81</v>
      </c>
      <c r="K31">
        <v>37.729999999999997</v>
      </c>
      <c r="L31">
        <f t="shared" si="0"/>
        <v>37.729999999999997</v>
      </c>
    </row>
    <row r="32" spans="1:12" x14ac:dyDescent="0.25">
      <c r="A32">
        <v>71</v>
      </c>
      <c r="B32" t="s">
        <v>39</v>
      </c>
      <c r="C32">
        <v>63.2</v>
      </c>
      <c r="D32">
        <v>0</v>
      </c>
      <c r="E32">
        <v>33.47</v>
      </c>
      <c r="F32">
        <v>33.479999999999997</v>
      </c>
      <c r="G32">
        <v>33.479999999999997</v>
      </c>
      <c r="H32">
        <v>33.479999999999997</v>
      </c>
      <c r="I32">
        <v>33.479999999999997</v>
      </c>
      <c r="J32">
        <v>33.479999999999997</v>
      </c>
      <c r="K32">
        <v>33.479999999999997</v>
      </c>
      <c r="L32">
        <f t="shared" si="0"/>
        <v>33.479999999999997</v>
      </c>
    </row>
    <row r="33" spans="1:12" x14ac:dyDescent="0.25">
      <c r="A33">
        <v>72</v>
      </c>
      <c r="B33" t="s">
        <v>40</v>
      </c>
      <c r="C33">
        <v>63.2</v>
      </c>
      <c r="D33">
        <v>0</v>
      </c>
      <c r="E33">
        <v>-5.3100000000000023</v>
      </c>
      <c r="F33">
        <v>-5.3100000000000023</v>
      </c>
      <c r="G33">
        <v>-5.3100000000000023</v>
      </c>
      <c r="H33">
        <v>-5.3100000000000023</v>
      </c>
      <c r="I33">
        <v>-5.3100000000000023</v>
      </c>
      <c r="J33">
        <v>-5.3100000000000023</v>
      </c>
      <c r="K33">
        <v>-5.3100000000000023</v>
      </c>
      <c r="L33">
        <f t="shared" si="0"/>
        <v>-5.3100000000000023</v>
      </c>
    </row>
    <row r="34" spans="1:12" x14ac:dyDescent="0.25">
      <c r="A34">
        <v>82</v>
      </c>
      <c r="B34" t="s">
        <v>41</v>
      </c>
      <c r="C34">
        <v>63.2</v>
      </c>
      <c r="D34">
        <v>0</v>
      </c>
      <c r="E34">
        <v>6.8199999999999932</v>
      </c>
      <c r="F34">
        <v>15.44</v>
      </c>
      <c r="G34">
        <v>24.429999999999989</v>
      </c>
      <c r="H34">
        <v>28.94</v>
      </c>
      <c r="I34">
        <v>31.3</v>
      </c>
      <c r="J34">
        <v>32.450000000000003</v>
      </c>
      <c r="K34">
        <v>33.459999999999987</v>
      </c>
      <c r="L34">
        <f t="shared" si="0"/>
        <v>33.459999999999987</v>
      </c>
    </row>
    <row r="35" spans="1:12" x14ac:dyDescent="0.25">
      <c r="A35">
        <v>90</v>
      </c>
      <c r="B35" t="s">
        <v>42</v>
      </c>
      <c r="C35">
        <v>63.2</v>
      </c>
      <c r="D35">
        <v>0</v>
      </c>
      <c r="E35">
        <v>-27.67</v>
      </c>
      <c r="F35">
        <v>-12.2</v>
      </c>
      <c r="G35">
        <v>4.039999999999992</v>
      </c>
      <c r="H35">
        <v>11.03</v>
      </c>
      <c r="I35">
        <v>14.52</v>
      </c>
      <c r="J35">
        <v>16.289999999999988</v>
      </c>
      <c r="K35">
        <v>17.739999999999991</v>
      </c>
      <c r="L35">
        <f t="shared" si="0"/>
        <v>17.739999999999991</v>
      </c>
    </row>
    <row r="36" spans="1:12" x14ac:dyDescent="0.25">
      <c r="A36">
        <v>91</v>
      </c>
      <c r="B36" t="s">
        <v>43</v>
      </c>
      <c r="C36">
        <v>63.2</v>
      </c>
      <c r="D36">
        <v>0</v>
      </c>
      <c r="E36">
        <v>63.2</v>
      </c>
      <c r="F36">
        <v>63.2</v>
      </c>
      <c r="G36">
        <v>63.2</v>
      </c>
      <c r="H36">
        <v>63.2</v>
      </c>
      <c r="I36">
        <v>63.2</v>
      </c>
      <c r="J36">
        <v>63.2</v>
      </c>
      <c r="K36">
        <v>63.2</v>
      </c>
      <c r="L36">
        <f t="shared" si="0"/>
        <v>63.2</v>
      </c>
    </row>
    <row r="37" spans="1:12" x14ac:dyDescent="0.25">
      <c r="A37">
        <v>92</v>
      </c>
      <c r="B37" t="s">
        <v>44</v>
      </c>
      <c r="C37">
        <v>63.2</v>
      </c>
      <c r="D37">
        <v>0</v>
      </c>
      <c r="E37">
        <v>2.9999999999994031E-2</v>
      </c>
      <c r="F37">
        <v>4.9999999999997158E-2</v>
      </c>
      <c r="G37">
        <v>7.9999999999998295E-2</v>
      </c>
      <c r="H37">
        <v>0.1099999999999994</v>
      </c>
      <c r="I37">
        <v>0.1400000000000006</v>
      </c>
      <c r="J37">
        <v>0.15999999999999659</v>
      </c>
      <c r="K37">
        <v>0.17999999999999969</v>
      </c>
      <c r="L37">
        <f t="shared" si="0"/>
        <v>0.17999999999999969</v>
      </c>
    </row>
    <row r="38" spans="1:12" x14ac:dyDescent="0.25">
      <c r="A38">
        <v>93</v>
      </c>
      <c r="B38" t="s">
        <v>45</v>
      </c>
      <c r="C38">
        <v>63.2</v>
      </c>
      <c r="D38">
        <v>0</v>
      </c>
      <c r="E38">
        <v>8.39</v>
      </c>
      <c r="F38">
        <v>11.009999999999989</v>
      </c>
      <c r="G38">
        <v>11.81999999999999</v>
      </c>
      <c r="H38">
        <v>11.97</v>
      </c>
      <c r="I38">
        <v>12.03999999999999</v>
      </c>
      <c r="J38">
        <v>12.099999999999991</v>
      </c>
      <c r="K38">
        <v>12.14</v>
      </c>
      <c r="L38">
        <f t="shared" si="0"/>
        <v>12.14</v>
      </c>
    </row>
    <row r="39" spans="1:12" x14ac:dyDescent="0.25">
      <c r="A39">
        <v>94</v>
      </c>
      <c r="B39" t="s">
        <v>46</v>
      </c>
      <c r="C39">
        <v>63.2</v>
      </c>
      <c r="D39">
        <v>0</v>
      </c>
      <c r="E39">
        <v>63.2</v>
      </c>
      <c r="F39">
        <v>63.2</v>
      </c>
      <c r="G39">
        <v>63.2</v>
      </c>
      <c r="H39">
        <v>63.2</v>
      </c>
      <c r="I39">
        <v>63.2</v>
      </c>
      <c r="J39">
        <v>63.2</v>
      </c>
      <c r="K39">
        <v>63.2</v>
      </c>
      <c r="L39">
        <f t="shared" si="0"/>
        <v>63.2</v>
      </c>
    </row>
    <row r="40" spans="1:12" x14ac:dyDescent="0.25">
      <c r="A40">
        <v>95</v>
      </c>
      <c r="B40" t="s">
        <v>47</v>
      </c>
      <c r="C40">
        <v>63.2</v>
      </c>
      <c r="D40">
        <v>0</v>
      </c>
      <c r="E40">
        <v>-21.09</v>
      </c>
      <c r="F40">
        <v>-6.7700000000000031</v>
      </c>
      <c r="G40">
        <v>3.3199999999999932</v>
      </c>
      <c r="H40">
        <v>7.039999999999992</v>
      </c>
      <c r="I40">
        <v>8.8699999999999903</v>
      </c>
      <c r="J40">
        <v>9.6199999999999903</v>
      </c>
      <c r="K40">
        <v>10.429999999999991</v>
      </c>
      <c r="L40">
        <f t="shared" si="0"/>
        <v>10.429999999999991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topLeftCell="A17" workbookViewId="0">
      <selection activeCell="D2" sqref="D2:L40"/>
    </sheetView>
  </sheetViews>
  <sheetFormatPr defaultRowHeight="15" x14ac:dyDescent="0.25"/>
  <cols>
    <col min="2" max="2" width="61.7109375" bestFit="1" customWidth="1"/>
  </cols>
  <sheetData>
    <row r="1" spans="1:12" x14ac:dyDescent="0.25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>
        <v>1000000</v>
      </c>
    </row>
    <row r="2" spans="1:12" x14ac:dyDescent="0.25">
      <c r="A2">
        <v>3</v>
      </c>
      <c r="B2" t="s">
        <v>9</v>
      </c>
      <c r="C2">
        <v>243.3</v>
      </c>
      <c r="D2">
        <v>0</v>
      </c>
      <c r="E2">
        <v>256.39999999999998</v>
      </c>
      <c r="F2">
        <v>256.39999999999998</v>
      </c>
      <c r="G2">
        <v>256.39999999999998</v>
      </c>
      <c r="H2">
        <v>256.39999999999998</v>
      </c>
      <c r="I2">
        <v>256.39999999999998</v>
      </c>
      <c r="J2">
        <v>256.39999999999998</v>
      </c>
      <c r="K2">
        <v>256.39999999999998</v>
      </c>
      <c r="L2">
        <f>K2</f>
        <v>256.39999999999998</v>
      </c>
    </row>
    <row r="3" spans="1:12" x14ac:dyDescent="0.25">
      <c r="A3">
        <v>4</v>
      </c>
      <c r="B3" t="s">
        <v>10</v>
      </c>
      <c r="C3">
        <v>243.3</v>
      </c>
      <c r="D3">
        <v>0</v>
      </c>
      <c r="E3">
        <v>26.759999999999991</v>
      </c>
      <c r="F3">
        <v>28.579999999999981</v>
      </c>
      <c r="G3">
        <v>29.579999999999981</v>
      </c>
      <c r="H3">
        <v>29.839999999999971</v>
      </c>
      <c r="I3">
        <v>29.94</v>
      </c>
      <c r="J3">
        <v>29.990000000000009</v>
      </c>
      <c r="K3">
        <v>30.009999999999991</v>
      </c>
      <c r="L3">
        <f t="shared" ref="L3:L40" si="0">K3</f>
        <v>30.009999999999991</v>
      </c>
    </row>
    <row r="4" spans="1:12" x14ac:dyDescent="0.25">
      <c r="A4">
        <v>6</v>
      </c>
      <c r="B4" t="s">
        <v>11</v>
      </c>
      <c r="C4">
        <v>243.3</v>
      </c>
      <c r="D4">
        <v>0</v>
      </c>
      <c r="E4">
        <v>4.1099999999999852</v>
      </c>
      <c r="F4">
        <v>4.1099999999999852</v>
      </c>
      <c r="G4">
        <v>4.1099999999999852</v>
      </c>
      <c r="H4">
        <v>4.1099999999999852</v>
      </c>
      <c r="I4">
        <v>4.1099999999999852</v>
      </c>
      <c r="J4">
        <v>4.1099999999999852</v>
      </c>
      <c r="K4">
        <v>4.1099999999999852</v>
      </c>
      <c r="L4">
        <f t="shared" si="0"/>
        <v>4.1099999999999852</v>
      </c>
    </row>
    <row r="5" spans="1:12" x14ac:dyDescent="0.25">
      <c r="A5">
        <v>10</v>
      </c>
      <c r="B5" t="s">
        <v>12</v>
      </c>
      <c r="C5">
        <v>243.3</v>
      </c>
      <c r="D5">
        <v>0</v>
      </c>
      <c r="E5">
        <v>0.70999999999997954</v>
      </c>
      <c r="F5">
        <v>1.2199999999999991</v>
      </c>
      <c r="G5">
        <v>1.8499999999999941</v>
      </c>
      <c r="H5">
        <v>2.1999999999999891</v>
      </c>
      <c r="I5">
        <v>2.3899999999999859</v>
      </c>
      <c r="J5">
        <v>2.5</v>
      </c>
      <c r="K5">
        <v>2.6099999999999852</v>
      </c>
      <c r="L5">
        <f t="shared" si="0"/>
        <v>2.6099999999999852</v>
      </c>
    </row>
    <row r="6" spans="1:12" x14ac:dyDescent="0.25">
      <c r="A6">
        <v>11</v>
      </c>
      <c r="B6" t="s">
        <v>13</v>
      </c>
      <c r="C6">
        <v>243.3</v>
      </c>
      <c r="D6">
        <v>0</v>
      </c>
      <c r="E6">
        <v>5.6999999999999886</v>
      </c>
      <c r="F6">
        <v>6.2399999999999807</v>
      </c>
      <c r="G6">
        <v>6.8699999999999761</v>
      </c>
      <c r="H6">
        <v>7.2099999999999804</v>
      </c>
      <c r="I6">
        <v>7.3999999999999773</v>
      </c>
      <c r="J6">
        <v>7.5499999999999829</v>
      </c>
      <c r="K6">
        <v>7.6499999999999773</v>
      </c>
      <c r="L6">
        <f t="shared" si="0"/>
        <v>7.6499999999999773</v>
      </c>
    </row>
    <row r="7" spans="1:12" x14ac:dyDescent="0.25">
      <c r="A7">
        <v>12</v>
      </c>
      <c r="B7" t="s">
        <v>14</v>
      </c>
      <c r="C7">
        <v>243.3</v>
      </c>
      <c r="D7">
        <v>0</v>
      </c>
      <c r="E7">
        <v>154.26</v>
      </c>
      <c r="F7">
        <v>169.26</v>
      </c>
      <c r="G7">
        <v>188.06</v>
      </c>
      <c r="H7">
        <v>200.28</v>
      </c>
      <c r="I7">
        <v>208.2</v>
      </c>
      <c r="J7">
        <v>213.66</v>
      </c>
      <c r="K7">
        <v>226.02</v>
      </c>
      <c r="L7">
        <f t="shared" si="0"/>
        <v>226.02</v>
      </c>
    </row>
    <row r="8" spans="1:12" x14ac:dyDescent="0.25">
      <c r="A8">
        <v>15</v>
      </c>
      <c r="B8" t="s">
        <v>15</v>
      </c>
      <c r="C8">
        <v>243.3</v>
      </c>
      <c r="D8">
        <v>0</v>
      </c>
      <c r="E8">
        <v>154.26</v>
      </c>
      <c r="F8">
        <v>169.26</v>
      </c>
      <c r="G8">
        <v>188.06</v>
      </c>
      <c r="H8">
        <v>200.28</v>
      </c>
      <c r="I8">
        <v>208.2</v>
      </c>
      <c r="J8">
        <v>213.66</v>
      </c>
      <c r="K8">
        <v>226.02</v>
      </c>
      <c r="L8">
        <f t="shared" si="0"/>
        <v>226.02</v>
      </c>
    </row>
    <row r="9" spans="1:12" x14ac:dyDescent="0.25">
      <c r="A9">
        <v>16</v>
      </c>
      <c r="B9" t="s">
        <v>16</v>
      </c>
      <c r="C9">
        <v>243.3</v>
      </c>
      <c r="D9">
        <v>0</v>
      </c>
      <c r="E9">
        <v>154.26</v>
      </c>
      <c r="F9">
        <v>169.26</v>
      </c>
      <c r="G9">
        <v>188.06</v>
      </c>
      <c r="H9">
        <v>200.28</v>
      </c>
      <c r="I9">
        <v>208.2</v>
      </c>
      <c r="J9">
        <v>213.66</v>
      </c>
      <c r="K9">
        <v>226.02</v>
      </c>
      <c r="L9">
        <f t="shared" si="0"/>
        <v>226.02</v>
      </c>
    </row>
    <row r="10" spans="1:12" x14ac:dyDescent="0.25">
      <c r="A10">
        <v>19</v>
      </c>
      <c r="B10" t="s">
        <v>17</v>
      </c>
      <c r="C10">
        <v>243.3</v>
      </c>
      <c r="D10">
        <v>0</v>
      </c>
      <c r="E10">
        <v>243.3</v>
      </c>
      <c r="F10">
        <v>243.3</v>
      </c>
      <c r="G10">
        <v>243.3</v>
      </c>
      <c r="H10">
        <v>243.3</v>
      </c>
      <c r="I10">
        <v>243.3</v>
      </c>
      <c r="J10">
        <v>243.3</v>
      </c>
      <c r="K10">
        <v>243.3</v>
      </c>
      <c r="L10">
        <f t="shared" si="0"/>
        <v>243.3</v>
      </c>
    </row>
    <row r="11" spans="1:12" x14ac:dyDescent="0.25">
      <c r="A11">
        <v>20</v>
      </c>
      <c r="B11" t="s">
        <v>18</v>
      </c>
      <c r="C11">
        <v>243.3</v>
      </c>
      <c r="D11">
        <v>0</v>
      </c>
      <c r="E11">
        <v>-2.320000000000022</v>
      </c>
      <c r="F11">
        <v>-1.7000000000000171</v>
      </c>
      <c r="G11">
        <v>-0.93999999999999773</v>
      </c>
      <c r="H11">
        <v>-0.52000000000001023</v>
      </c>
      <c r="I11">
        <v>-0.29000000000002052</v>
      </c>
      <c r="J11">
        <v>-0.17000000000001589</v>
      </c>
      <c r="K11">
        <v>-4.0000000000020457E-2</v>
      </c>
      <c r="L11">
        <f t="shared" si="0"/>
        <v>-4.0000000000020457E-2</v>
      </c>
    </row>
    <row r="12" spans="1:12" x14ac:dyDescent="0.25">
      <c r="A12">
        <v>22</v>
      </c>
      <c r="B12" t="s">
        <v>19</v>
      </c>
      <c r="C12">
        <v>243.3</v>
      </c>
      <c r="D12">
        <v>0</v>
      </c>
      <c r="E12">
        <v>5.4699999999999989</v>
      </c>
      <c r="F12">
        <v>6</v>
      </c>
      <c r="G12">
        <v>6.6399999999999864</v>
      </c>
      <c r="H12">
        <v>6.9799999999999898</v>
      </c>
      <c r="I12">
        <v>7.1699999999999866</v>
      </c>
      <c r="J12">
        <v>7.3199999999999932</v>
      </c>
      <c r="K12">
        <v>7.4199999999999866</v>
      </c>
      <c r="L12">
        <f t="shared" si="0"/>
        <v>7.4199999999999866</v>
      </c>
    </row>
    <row r="13" spans="1:12" x14ac:dyDescent="0.25">
      <c r="A13">
        <v>23</v>
      </c>
      <c r="B13" t="s">
        <v>20</v>
      </c>
      <c r="C13">
        <v>243.3</v>
      </c>
      <c r="D13">
        <v>0</v>
      </c>
      <c r="E13">
        <v>1.8299999999999841</v>
      </c>
      <c r="F13">
        <v>2.3499999999999939</v>
      </c>
      <c r="G13">
        <v>2.8599999999999852</v>
      </c>
      <c r="H13">
        <v>3.0199999999999818</v>
      </c>
      <c r="I13">
        <v>3.089999999999975</v>
      </c>
      <c r="J13">
        <v>3.129999999999995</v>
      </c>
      <c r="K13">
        <v>3.1499999999999768</v>
      </c>
      <c r="L13">
        <f t="shared" si="0"/>
        <v>3.1499999999999768</v>
      </c>
    </row>
    <row r="14" spans="1:12" x14ac:dyDescent="0.25">
      <c r="A14">
        <v>24</v>
      </c>
      <c r="B14" t="s">
        <v>21</v>
      </c>
      <c r="C14">
        <v>243.3</v>
      </c>
      <c r="D14">
        <v>0</v>
      </c>
      <c r="E14">
        <v>-0.80000000000001137</v>
      </c>
      <c r="F14">
        <v>-0.23000000000001819</v>
      </c>
      <c r="G14">
        <v>0.33999999999997499</v>
      </c>
      <c r="H14">
        <v>0.50999999999999091</v>
      </c>
      <c r="I14">
        <v>0.58999999999997499</v>
      </c>
      <c r="J14">
        <v>0.62999999999999545</v>
      </c>
      <c r="K14">
        <v>0.64999999999997726</v>
      </c>
      <c r="L14">
        <f t="shared" si="0"/>
        <v>0.64999999999997726</v>
      </c>
    </row>
    <row r="15" spans="1:12" x14ac:dyDescent="0.25">
      <c r="A15">
        <v>25</v>
      </c>
      <c r="B15" t="s">
        <v>22</v>
      </c>
      <c r="C15">
        <v>243.3</v>
      </c>
      <c r="D15">
        <v>0</v>
      </c>
      <c r="E15">
        <v>243.3</v>
      </c>
      <c r="F15">
        <v>243.3</v>
      </c>
      <c r="G15">
        <v>243.3</v>
      </c>
      <c r="H15">
        <v>243.3</v>
      </c>
      <c r="I15">
        <v>243.3</v>
      </c>
      <c r="J15">
        <v>243.3</v>
      </c>
      <c r="K15">
        <v>243.3</v>
      </c>
      <c r="L15">
        <f t="shared" si="0"/>
        <v>243.3</v>
      </c>
    </row>
    <row r="16" spans="1:12" x14ac:dyDescent="0.25">
      <c r="A16">
        <v>26</v>
      </c>
      <c r="B16" t="s">
        <v>23</v>
      </c>
      <c r="C16">
        <v>243.3</v>
      </c>
      <c r="D16">
        <v>0</v>
      </c>
      <c r="E16">
        <v>292.86</v>
      </c>
      <c r="F16">
        <v>292.86</v>
      </c>
      <c r="G16">
        <v>292.86</v>
      </c>
      <c r="H16">
        <v>292.86</v>
      </c>
      <c r="I16">
        <v>292.86</v>
      </c>
      <c r="J16">
        <v>292.86</v>
      </c>
      <c r="K16">
        <v>292.86</v>
      </c>
      <c r="L16">
        <f t="shared" si="0"/>
        <v>292.86</v>
      </c>
    </row>
    <row r="17" spans="1:12" x14ac:dyDescent="0.25">
      <c r="A17">
        <v>27</v>
      </c>
      <c r="B17" t="s">
        <v>24</v>
      </c>
      <c r="C17">
        <v>243.3</v>
      </c>
      <c r="D17">
        <v>0</v>
      </c>
      <c r="E17">
        <v>25.38</v>
      </c>
      <c r="F17">
        <v>21.529999999999969</v>
      </c>
      <c r="G17">
        <v>19.62</v>
      </c>
      <c r="H17">
        <v>19.170000000000019</v>
      </c>
      <c r="I17">
        <v>18.920000000000019</v>
      </c>
      <c r="J17">
        <v>18.809999999999999</v>
      </c>
      <c r="K17">
        <v>18.659999999999972</v>
      </c>
      <c r="L17">
        <f t="shared" si="0"/>
        <v>18.659999999999972</v>
      </c>
    </row>
    <row r="18" spans="1:12" x14ac:dyDescent="0.25">
      <c r="A18">
        <v>29</v>
      </c>
      <c r="B18" t="s">
        <v>25</v>
      </c>
      <c r="C18">
        <v>243.3</v>
      </c>
      <c r="D18">
        <v>0</v>
      </c>
      <c r="E18">
        <v>-5.9500000000000171</v>
      </c>
      <c r="F18">
        <v>-5.960000000000008</v>
      </c>
      <c r="G18">
        <v>-5.9800000000000182</v>
      </c>
      <c r="H18">
        <v>-6</v>
      </c>
      <c r="I18">
        <v>-6.0200000000000102</v>
      </c>
      <c r="J18">
        <v>-6.0200000000000102</v>
      </c>
      <c r="K18">
        <v>-5.9500000000000171</v>
      </c>
      <c r="L18">
        <f t="shared" si="0"/>
        <v>-5.9500000000000171</v>
      </c>
    </row>
    <row r="19" spans="1:12" x14ac:dyDescent="0.25">
      <c r="A19">
        <v>30</v>
      </c>
      <c r="B19" t="s">
        <v>26</v>
      </c>
      <c r="C19">
        <v>243.3</v>
      </c>
      <c r="D19">
        <v>0</v>
      </c>
      <c r="E19">
        <v>-5.9500000000000171</v>
      </c>
      <c r="F19">
        <v>-5.9500000000000171</v>
      </c>
      <c r="G19">
        <v>-5.9699999999999989</v>
      </c>
      <c r="H19">
        <v>-5.9900000000000091</v>
      </c>
      <c r="I19">
        <v>-6.0100000000000193</v>
      </c>
      <c r="J19">
        <v>-6.0200000000000102</v>
      </c>
      <c r="K19">
        <v>-6.0400000000000196</v>
      </c>
      <c r="L19">
        <f t="shared" si="0"/>
        <v>-6.0400000000000196</v>
      </c>
    </row>
    <row r="20" spans="1:12" x14ac:dyDescent="0.25">
      <c r="A20">
        <v>31</v>
      </c>
      <c r="B20" t="s">
        <v>27</v>
      </c>
      <c r="C20">
        <v>243.3</v>
      </c>
      <c r="D20">
        <v>0</v>
      </c>
      <c r="E20">
        <v>25.38</v>
      </c>
      <c r="F20">
        <v>21.529999999999969</v>
      </c>
      <c r="G20">
        <v>19.62</v>
      </c>
      <c r="H20">
        <v>19.170000000000019</v>
      </c>
      <c r="I20">
        <v>18.920000000000019</v>
      </c>
      <c r="J20">
        <v>18.809999999999999</v>
      </c>
      <c r="K20">
        <v>18.659999999999972</v>
      </c>
      <c r="L20">
        <f t="shared" si="0"/>
        <v>18.659999999999972</v>
      </c>
    </row>
    <row r="21" spans="1:12" x14ac:dyDescent="0.25">
      <c r="A21">
        <v>32</v>
      </c>
      <c r="B21" t="s">
        <v>28</v>
      </c>
      <c r="C21">
        <v>243.3</v>
      </c>
      <c r="D21">
        <v>0</v>
      </c>
      <c r="E21">
        <v>239.96</v>
      </c>
      <c r="F21">
        <v>239.96</v>
      </c>
      <c r="G21">
        <v>239.96</v>
      </c>
      <c r="H21">
        <v>239.96</v>
      </c>
      <c r="I21">
        <v>239.96</v>
      </c>
      <c r="J21">
        <v>239.96</v>
      </c>
      <c r="K21">
        <v>239.96</v>
      </c>
      <c r="L21">
        <f t="shared" si="0"/>
        <v>239.96</v>
      </c>
    </row>
    <row r="22" spans="1:12" x14ac:dyDescent="0.25">
      <c r="A22">
        <v>33</v>
      </c>
      <c r="B22" t="s">
        <v>29</v>
      </c>
      <c r="C22">
        <v>243.3</v>
      </c>
      <c r="D22">
        <v>0</v>
      </c>
      <c r="E22">
        <v>1.0799999999999841</v>
      </c>
      <c r="F22">
        <v>1.5099999999999909</v>
      </c>
      <c r="G22">
        <v>2.039999999999992</v>
      </c>
      <c r="H22">
        <v>2.3499999999999939</v>
      </c>
      <c r="I22">
        <v>2.5300000000000011</v>
      </c>
      <c r="J22">
        <v>2.6399999999999859</v>
      </c>
      <c r="K22">
        <v>2.839999999999975</v>
      </c>
      <c r="L22">
        <f t="shared" si="0"/>
        <v>2.839999999999975</v>
      </c>
    </row>
    <row r="23" spans="1:12" x14ac:dyDescent="0.25">
      <c r="A23">
        <v>37</v>
      </c>
      <c r="B23" t="s">
        <v>30</v>
      </c>
      <c r="C23">
        <v>243.3</v>
      </c>
      <c r="D23">
        <v>0</v>
      </c>
      <c r="E23">
        <v>-1.980000000000018</v>
      </c>
      <c r="F23">
        <v>-1.9900000000000091</v>
      </c>
      <c r="G23">
        <v>-2</v>
      </c>
      <c r="H23">
        <v>-2.0200000000000098</v>
      </c>
      <c r="I23">
        <v>-2.04000000000002</v>
      </c>
      <c r="J23">
        <v>-2.0600000000000018</v>
      </c>
      <c r="K23">
        <v>-2.1300000000000239</v>
      </c>
      <c r="L23">
        <f t="shared" si="0"/>
        <v>-2.1300000000000239</v>
      </c>
    </row>
    <row r="24" spans="1:12" x14ac:dyDescent="0.25">
      <c r="A24">
        <v>39</v>
      </c>
      <c r="B24" t="s">
        <v>31</v>
      </c>
      <c r="C24">
        <v>243.3</v>
      </c>
      <c r="D24">
        <v>0</v>
      </c>
      <c r="E24">
        <v>243.3</v>
      </c>
      <c r="F24">
        <v>243.3</v>
      </c>
      <c r="G24">
        <v>243.3</v>
      </c>
      <c r="H24">
        <v>243.3</v>
      </c>
      <c r="I24">
        <v>243.3</v>
      </c>
      <c r="J24">
        <v>243.3</v>
      </c>
      <c r="K24">
        <v>243.3</v>
      </c>
      <c r="L24">
        <f t="shared" si="0"/>
        <v>243.3</v>
      </c>
    </row>
    <row r="25" spans="1:12" x14ac:dyDescent="0.25">
      <c r="A25">
        <v>40</v>
      </c>
      <c r="B25" t="s">
        <v>32</v>
      </c>
      <c r="C25">
        <v>243.3</v>
      </c>
      <c r="D25">
        <v>0</v>
      </c>
      <c r="E25">
        <v>90.93</v>
      </c>
      <c r="F25">
        <v>114.08</v>
      </c>
      <c r="G25">
        <v>142.75</v>
      </c>
      <c r="H25">
        <v>159.97</v>
      </c>
      <c r="I25">
        <v>172.14</v>
      </c>
      <c r="J25">
        <v>181.59</v>
      </c>
      <c r="K25">
        <v>206.53</v>
      </c>
      <c r="L25">
        <f t="shared" si="0"/>
        <v>206.53</v>
      </c>
    </row>
    <row r="26" spans="1:12" x14ac:dyDescent="0.25">
      <c r="A26">
        <v>41</v>
      </c>
      <c r="B26" t="s">
        <v>33</v>
      </c>
      <c r="C26">
        <v>243.3</v>
      </c>
      <c r="D26">
        <v>0</v>
      </c>
      <c r="E26">
        <v>3.1199999999999761</v>
      </c>
      <c r="F26">
        <v>3</v>
      </c>
      <c r="G26">
        <v>2.8299999999999841</v>
      </c>
      <c r="H26">
        <v>2.7299999999999902</v>
      </c>
      <c r="I26">
        <v>2.6699999999999871</v>
      </c>
      <c r="J26">
        <v>2.6399999999999859</v>
      </c>
      <c r="K26">
        <v>2.5699999999999932</v>
      </c>
      <c r="L26">
        <f t="shared" si="0"/>
        <v>2.5699999999999932</v>
      </c>
    </row>
    <row r="27" spans="1:12" x14ac:dyDescent="0.25">
      <c r="A27">
        <v>42</v>
      </c>
      <c r="B27" t="s">
        <v>34</v>
      </c>
      <c r="C27">
        <v>243.3</v>
      </c>
      <c r="D27">
        <v>0</v>
      </c>
      <c r="E27">
        <v>200.32</v>
      </c>
      <c r="F27">
        <v>200.33</v>
      </c>
      <c r="G27">
        <v>200.34</v>
      </c>
      <c r="H27">
        <v>200.35</v>
      </c>
      <c r="I27">
        <v>200.35</v>
      </c>
      <c r="J27">
        <v>200.35</v>
      </c>
      <c r="K27">
        <v>200.35</v>
      </c>
      <c r="L27">
        <f t="shared" si="0"/>
        <v>200.35</v>
      </c>
    </row>
    <row r="28" spans="1:12" x14ac:dyDescent="0.25">
      <c r="A28">
        <v>45</v>
      </c>
      <c r="B28" t="s">
        <v>35</v>
      </c>
      <c r="C28">
        <v>243.3</v>
      </c>
      <c r="D28">
        <v>0</v>
      </c>
      <c r="E28">
        <v>61.899999999999977</v>
      </c>
      <c r="F28">
        <v>68.610000000000014</v>
      </c>
      <c r="G28">
        <v>72.70999999999998</v>
      </c>
      <c r="H28">
        <v>73.88</v>
      </c>
      <c r="I28">
        <v>74.300000000000011</v>
      </c>
      <c r="J28">
        <v>74.46999999999997</v>
      </c>
      <c r="K28">
        <v>74.599999999999966</v>
      </c>
      <c r="L28">
        <f t="shared" si="0"/>
        <v>74.599999999999966</v>
      </c>
    </row>
    <row r="29" spans="1:12" x14ac:dyDescent="0.25">
      <c r="A29">
        <v>46</v>
      </c>
      <c r="B29" t="s">
        <v>36</v>
      </c>
      <c r="C29">
        <v>243.3</v>
      </c>
      <c r="D29">
        <v>0</v>
      </c>
      <c r="E29">
        <v>-0.59000000000000341</v>
      </c>
      <c r="F29">
        <v>-0.59000000000000341</v>
      </c>
      <c r="G29">
        <v>-0.60000000000002274</v>
      </c>
      <c r="H29">
        <v>-0.60000000000002274</v>
      </c>
      <c r="I29">
        <v>-0.60000000000002274</v>
      </c>
      <c r="J29">
        <v>-0.59000000000000341</v>
      </c>
      <c r="K29">
        <v>-0.59000000000000341</v>
      </c>
      <c r="L29">
        <f t="shared" si="0"/>
        <v>-0.59000000000000341</v>
      </c>
    </row>
    <row r="30" spans="1:12" x14ac:dyDescent="0.25">
      <c r="A30">
        <v>51</v>
      </c>
      <c r="B30" t="s">
        <v>37</v>
      </c>
      <c r="C30">
        <v>243.3</v>
      </c>
      <c r="D30">
        <v>0</v>
      </c>
      <c r="E30">
        <v>241.23</v>
      </c>
      <c r="F30">
        <v>241.23</v>
      </c>
      <c r="G30">
        <v>241.23</v>
      </c>
      <c r="H30">
        <v>241.23</v>
      </c>
      <c r="I30">
        <v>241.23</v>
      </c>
      <c r="J30">
        <v>241.23</v>
      </c>
      <c r="K30">
        <v>241.23</v>
      </c>
      <c r="L30">
        <f t="shared" si="0"/>
        <v>241.23</v>
      </c>
    </row>
    <row r="31" spans="1:12" x14ac:dyDescent="0.25">
      <c r="A31">
        <v>53</v>
      </c>
      <c r="B31" t="s">
        <v>38</v>
      </c>
      <c r="C31">
        <v>243.3</v>
      </c>
      <c r="D31">
        <v>0</v>
      </c>
      <c r="E31">
        <v>0.70999999999997954</v>
      </c>
      <c r="F31">
        <v>1.2199999999999991</v>
      </c>
      <c r="G31">
        <v>1.8499999999999941</v>
      </c>
      <c r="H31">
        <v>2.1999999999999891</v>
      </c>
      <c r="I31">
        <v>2.3899999999999859</v>
      </c>
      <c r="J31">
        <v>2.5</v>
      </c>
      <c r="K31">
        <v>2.6099999999999852</v>
      </c>
      <c r="L31">
        <f t="shared" si="0"/>
        <v>2.6099999999999852</v>
      </c>
    </row>
    <row r="32" spans="1:12" x14ac:dyDescent="0.25">
      <c r="A32">
        <v>71</v>
      </c>
      <c r="B32" t="s">
        <v>39</v>
      </c>
      <c r="C32">
        <v>243.3</v>
      </c>
      <c r="D32">
        <v>0</v>
      </c>
      <c r="E32">
        <v>5.3100000000000023</v>
      </c>
      <c r="F32">
        <v>5.3100000000000023</v>
      </c>
      <c r="G32">
        <v>5.3100000000000023</v>
      </c>
      <c r="H32">
        <v>5.3100000000000023</v>
      </c>
      <c r="I32">
        <v>5.3100000000000023</v>
      </c>
      <c r="J32">
        <v>5.3100000000000023</v>
      </c>
      <c r="K32">
        <v>5.3100000000000023</v>
      </c>
      <c r="L32">
        <f t="shared" si="0"/>
        <v>5.3100000000000023</v>
      </c>
    </row>
    <row r="33" spans="1:12" x14ac:dyDescent="0.25">
      <c r="A33">
        <v>72</v>
      </c>
      <c r="B33" t="s">
        <v>40</v>
      </c>
      <c r="C33">
        <v>243.3</v>
      </c>
      <c r="D33">
        <v>0</v>
      </c>
      <c r="E33">
        <v>3.5499999999999829</v>
      </c>
      <c r="F33">
        <v>3.5499999999999829</v>
      </c>
      <c r="G33">
        <v>3.5499999999999829</v>
      </c>
      <c r="H33">
        <v>3.5499999999999829</v>
      </c>
      <c r="I33">
        <v>3.5499999999999829</v>
      </c>
      <c r="J33">
        <v>3.5499999999999829</v>
      </c>
      <c r="K33">
        <v>3.5499999999999829</v>
      </c>
      <c r="L33">
        <f t="shared" si="0"/>
        <v>3.5499999999999829</v>
      </c>
    </row>
    <row r="34" spans="1:12" x14ac:dyDescent="0.25">
      <c r="A34">
        <v>82</v>
      </c>
      <c r="B34" t="s">
        <v>41</v>
      </c>
      <c r="C34">
        <v>243.3</v>
      </c>
      <c r="D34">
        <v>0</v>
      </c>
      <c r="E34">
        <v>3.089999999999975</v>
      </c>
      <c r="F34">
        <v>3.6099999999999852</v>
      </c>
      <c r="G34">
        <v>4.339999999999975</v>
      </c>
      <c r="H34">
        <v>4.6899999999999977</v>
      </c>
      <c r="I34">
        <v>4.8799999999999946</v>
      </c>
      <c r="J34">
        <v>5</v>
      </c>
      <c r="K34">
        <v>5.1099999999999852</v>
      </c>
      <c r="L34">
        <f t="shared" si="0"/>
        <v>5.1099999999999852</v>
      </c>
    </row>
    <row r="35" spans="1:12" x14ac:dyDescent="0.25">
      <c r="A35">
        <v>90</v>
      </c>
      <c r="B35" t="s">
        <v>42</v>
      </c>
      <c r="C35">
        <v>243.3</v>
      </c>
      <c r="D35">
        <v>0</v>
      </c>
      <c r="E35">
        <v>11.829999999999981</v>
      </c>
      <c r="F35">
        <v>12.53</v>
      </c>
      <c r="G35">
        <v>13.40999999999997</v>
      </c>
      <c r="H35">
        <v>13.849999999999969</v>
      </c>
      <c r="I35">
        <v>14.079999999999981</v>
      </c>
      <c r="J35">
        <v>14.20999999999998</v>
      </c>
      <c r="K35">
        <v>14.329999999999981</v>
      </c>
      <c r="L35">
        <f t="shared" si="0"/>
        <v>14.329999999999981</v>
      </c>
    </row>
    <row r="36" spans="1:12" x14ac:dyDescent="0.25">
      <c r="A36">
        <v>91</v>
      </c>
      <c r="B36" t="s">
        <v>43</v>
      </c>
      <c r="C36">
        <v>243.3</v>
      </c>
      <c r="D36">
        <v>0</v>
      </c>
      <c r="E36">
        <v>243.3</v>
      </c>
      <c r="F36">
        <v>243.3</v>
      </c>
      <c r="G36">
        <v>243.3</v>
      </c>
      <c r="H36">
        <v>243.3</v>
      </c>
      <c r="I36">
        <v>243.3</v>
      </c>
      <c r="J36">
        <v>243.3</v>
      </c>
      <c r="K36">
        <v>243.3</v>
      </c>
      <c r="L36">
        <f t="shared" si="0"/>
        <v>243.3</v>
      </c>
    </row>
    <row r="37" spans="1:12" x14ac:dyDescent="0.25">
      <c r="A37">
        <v>92</v>
      </c>
      <c r="B37" t="s">
        <v>44</v>
      </c>
      <c r="C37">
        <v>243.3</v>
      </c>
      <c r="D37">
        <v>0</v>
      </c>
      <c r="E37">
        <v>51.589999999999968</v>
      </c>
      <c r="F37">
        <v>56.649999999999977</v>
      </c>
      <c r="G37">
        <v>59.63</v>
      </c>
      <c r="H37">
        <v>60.44</v>
      </c>
      <c r="I37">
        <v>60.740000000000009</v>
      </c>
      <c r="J37">
        <v>60.87</v>
      </c>
      <c r="K37">
        <v>60.95999999999998</v>
      </c>
      <c r="L37">
        <f t="shared" si="0"/>
        <v>60.95999999999998</v>
      </c>
    </row>
    <row r="38" spans="1:12" x14ac:dyDescent="0.25">
      <c r="A38">
        <v>93</v>
      </c>
      <c r="B38" t="s">
        <v>45</v>
      </c>
      <c r="C38">
        <v>243.3</v>
      </c>
      <c r="D38">
        <v>0</v>
      </c>
      <c r="E38">
        <v>9.4899999999999807</v>
      </c>
      <c r="F38">
        <v>9.6599999999999966</v>
      </c>
      <c r="G38">
        <v>9.7099999999999795</v>
      </c>
      <c r="H38">
        <v>9.7199999999999989</v>
      </c>
      <c r="I38">
        <v>9.7299999999999898</v>
      </c>
      <c r="J38">
        <v>9.7399999999999807</v>
      </c>
      <c r="K38">
        <v>9.7399999999999807</v>
      </c>
      <c r="L38">
        <f t="shared" si="0"/>
        <v>9.7399999999999807</v>
      </c>
    </row>
    <row r="39" spans="1:12" x14ac:dyDescent="0.25">
      <c r="A39">
        <v>94</v>
      </c>
      <c r="B39" t="s">
        <v>46</v>
      </c>
      <c r="C39">
        <v>243.3</v>
      </c>
      <c r="D39">
        <v>0</v>
      </c>
      <c r="E39">
        <v>243.3</v>
      </c>
      <c r="F39">
        <v>243.3</v>
      </c>
      <c r="G39">
        <v>243.3</v>
      </c>
      <c r="H39">
        <v>243.3</v>
      </c>
      <c r="I39">
        <v>243.3</v>
      </c>
      <c r="J39">
        <v>243.3</v>
      </c>
      <c r="K39">
        <v>243.3</v>
      </c>
      <c r="L39">
        <f t="shared" si="0"/>
        <v>243.3</v>
      </c>
    </row>
    <row r="40" spans="1:12" x14ac:dyDescent="0.25">
      <c r="A40">
        <v>95</v>
      </c>
      <c r="B40" t="s">
        <v>47</v>
      </c>
      <c r="C40">
        <v>243.3</v>
      </c>
      <c r="D40">
        <v>0</v>
      </c>
      <c r="E40">
        <v>25.38</v>
      </c>
      <c r="F40">
        <v>21.529999999999969</v>
      </c>
      <c r="G40">
        <v>19.62</v>
      </c>
      <c r="H40">
        <v>19.170000000000019</v>
      </c>
      <c r="I40">
        <v>18.920000000000019</v>
      </c>
      <c r="J40">
        <v>18.809999999999999</v>
      </c>
      <c r="K40">
        <v>18.659999999999972</v>
      </c>
      <c r="L40">
        <f t="shared" si="0"/>
        <v>18.659999999999972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Runoff factor</vt:lpstr>
      <vt:lpstr>Ftot</vt:lpstr>
      <vt:lpstr>Groundwater recharge</vt:lpstr>
      <vt:lpstr>Evaporation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Reinder Brolsma</dc:creator>
  <cp:lastModifiedBy>Reinder Brolsma</cp:lastModifiedBy>
  <dcterms:created xsi:type="dcterms:W3CDTF">2020-01-10T14:07:58Z</dcterms:created>
  <dcterms:modified xsi:type="dcterms:W3CDTF">2020-01-13T10:21:24Z</dcterms:modified>
</cp:coreProperties>
</file>